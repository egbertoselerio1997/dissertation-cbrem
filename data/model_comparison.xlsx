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gy\dissertation-files-final\dissertation-cbrem\data\"/>
    </mc:Choice>
  </mc:AlternateContent>
  <xr:revisionPtr revIDLastSave="0" documentId="13_ncr:1_{6D37BE71-9D31-4138-B2C9-53513C7A308D}" xr6:coauthVersionLast="47" xr6:coauthVersionMax="47" xr10:uidLastSave="{00000000-0000-0000-0000-000000000000}"/>
  <bookViews>
    <workbookView xWindow="-110" yWindow="-110" windowWidth="25820" windowHeight="13900" xr2:uid="{A210A18A-5935-45F0-B509-1824CB2BE5D6}"/>
  </bookViews>
  <sheets>
    <sheet name="clarifier" sheetId="2" r:id="rId1"/>
    <sheet name="cstr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3" i="2"/>
  <c r="C4" i="2"/>
  <c r="C5" i="2"/>
  <c r="C6" i="2"/>
  <c r="C7" i="2"/>
  <c r="C8" i="2"/>
  <c r="C10" i="2"/>
  <c r="C11" i="2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J2" i="1"/>
  <c r="I2" i="1"/>
  <c r="H2" i="1"/>
  <c r="G2" i="1"/>
  <c r="F2" i="1"/>
  <c r="E2" i="1"/>
  <c r="D2" i="1"/>
  <c r="C2" i="1"/>
  <c r="B2" i="1"/>
  <c r="D3" i="2"/>
  <c r="E3" i="2"/>
  <c r="F3" i="2"/>
  <c r="G3" i="2"/>
  <c r="H3" i="2"/>
  <c r="I3" i="2"/>
  <c r="J3" i="2"/>
  <c r="D4" i="2"/>
  <c r="E4" i="2"/>
  <c r="F4" i="2"/>
  <c r="G4" i="2"/>
  <c r="H4" i="2"/>
  <c r="I4" i="2"/>
  <c r="J4" i="2"/>
  <c r="D5" i="2"/>
  <c r="E5" i="2"/>
  <c r="F5" i="2"/>
  <c r="G5" i="2"/>
  <c r="H5" i="2"/>
  <c r="I5" i="2"/>
  <c r="J5" i="2"/>
  <c r="D6" i="2"/>
  <c r="E6" i="2"/>
  <c r="F6" i="2"/>
  <c r="G6" i="2"/>
  <c r="H6" i="2"/>
  <c r="I6" i="2"/>
  <c r="J6" i="2"/>
  <c r="D7" i="2"/>
  <c r="E7" i="2"/>
  <c r="F7" i="2"/>
  <c r="G7" i="2"/>
  <c r="H7" i="2"/>
  <c r="I7" i="2"/>
  <c r="J7" i="2"/>
  <c r="D8" i="2"/>
  <c r="E8" i="2"/>
  <c r="F8" i="2"/>
  <c r="G8" i="2"/>
  <c r="H8" i="2"/>
  <c r="I8" i="2"/>
  <c r="J8" i="2"/>
  <c r="D9" i="2"/>
  <c r="E9" i="2"/>
  <c r="F9" i="2"/>
  <c r="G9" i="2"/>
  <c r="H9" i="2"/>
  <c r="I9" i="2"/>
  <c r="J9" i="2"/>
  <c r="D10" i="2"/>
  <c r="E10" i="2"/>
  <c r="F10" i="2"/>
  <c r="G10" i="2"/>
  <c r="H10" i="2"/>
  <c r="I10" i="2"/>
  <c r="J10" i="2"/>
  <c r="D11" i="2"/>
  <c r="E11" i="2"/>
  <c r="F11" i="2"/>
  <c r="G11" i="2"/>
  <c r="H11" i="2"/>
  <c r="I11" i="2"/>
  <c r="J11" i="2"/>
  <c r="J2" i="2"/>
  <c r="I2" i="2"/>
  <c r="H2" i="2"/>
  <c r="G2" i="2"/>
  <c r="F2" i="2"/>
  <c r="E2" i="2"/>
  <c r="D2" i="2"/>
  <c r="C2" i="2"/>
  <c r="B2" i="2"/>
  <c r="B3" i="2"/>
  <c r="B4" i="2"/>
  <c r="B5" i="2"/>
  <c r="B6" i="2"/>
  <c r="B7" i="2"/>
  <c r="B8" i="2"/>
  <c r="B9" i="2"/>
  <c r="B10" i="2"/>
  <c r="B11" i="2"/>
  <c r="G12" i="1" l="1"/>
  <c r="C12" i="1"/>
  <c r="D12" i="1"/>
  <c r="E12" i="1"/>
  <c r="I12" i="1"/>
  <c r="J12" i="1"/>
  <c r="H12" i="1"/>
  <c r="F12" i="1"/>
  <c r="B12" i="1"/>
  <c r="J12" i="2"/>
  <c r="B12" i="2"/>
  <c r="C12" i="2"/>
  <c r="D12" i="2"/>
  <c r="E12" i="2"/>
  <c r="F12" i="2"/>
  <c r="G12" i="2"/>
  <c r="H12" i="2"/>
  <c r="I12" i="2"/>
</calcChain>
</file>

<file path=xl/sharedStrings.xml><?xml version="1.0" encoding="utf-8"?>
<sst xmlns="http://schemas.openxmlformats.org/spreadsheetml/2006/main" count="40" uniqueCount="20">
  <si>
    <t>ann</t>
  </si>
  <si>
    <t>Target_Effluent_BOD (mg/L)</t>
  </si>
  <si>
    <t>Target_Effluent_COD (mg/L)</t>
  </si>
  <si>
    <t>Target_Effluent_TKN (mg/L)</t>
  </si>
  <si>
    <t>Target_Effluent_TN (mg/L)</t>
  </si>
  <si>
    <t>Target_Effluent_TP (mg/L)</t>
  </si>
  <si>
    <t>Target_Effluent_TSS (mg/L)</t>
  </si>
  <si>
    <t>Target_Effluent_VSS (mg/L)</t>
  </si>
  <si>
    <t>Target_Effluent_X_AUT (mg/L)</t>
  </si>
  <si>
    <t>Target_Effluent_X_H (mg/L)</t>
  </si>
  <si>
    <t>Target_Effluent_X_PAO (mg/L)</t>
  </si>
  <si>
    <t>clefo</t>
  </si>
  <si>
    <t>gam</t>
  </si>
  <si>
    <t>glm</t>
  </si>
  <si>
    <t>knn</t>
  </si>
  <si>
    <t>lightgbm</t>
  </si>
  <si>
    <t>random_forest</t>
  </si>
  <si>
    <t>svr</t>
  </si>
  <si>
    <t>xgboost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</si>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</sst>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ann/training_stat_clarifier/clarifier_train_st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clefo/training_stat_clarifier/clarifier_train_sta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gam/training_stat_clarifier/clarifier_train_sta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glm/training_stat_clarifier/clarifier_train_sta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knn/training_stat_clarifier/clarifier_train_sta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lightgbm/training_stat_clarifier/clarifier_train_sta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random_forest/training_stat_clarifier/clarifier_train_sta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svr/training_stat_clarifier/clarifier_train_sta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xgboost/training_stat_clarifier/clarifier_train_sta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ann/training_stat_cstr/cstr_train_sta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clefo/training_stat_cstr/cstr_train_sta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gam/training_stat_cstr/cstr_train_sta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glm/training_stat_cstr/cstr_train_sta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knn/training_stat_cstr/cstr_train_sta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lightgbm/training_stat_cstr/cstr_train_sta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random_forest/training_stat_cstr/cstr_train_sta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svr/training_stat_cstr/cstr_train_sta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data/xgboost/training_stat_cstr/cstr_train_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13.058436010024829</v>
          </cell>
          <cell r="C4">
            <v>3.8263233466978628</v>
          </cell>
          <cell r="D4">
            <v>3.5731670991009188</v>
          </cell>
          <cell r="E4">
            <v>0.56853895784385311</v>
          </cell>
          <cell r="F4">
            <v>1.9585408507673241</v>
          </cell>
          <cell r="G4">
            <v>0.28178178785508218</v>
          </cell>
          <cell r="H4">
            <v>0.99241736135240877</v>
          </cell>
          <cell r="I4">
            <v>2.3312329027390848E-3</v>
          </cell>
          <cell r="J4">
            <v>0.99198866093417037</v>
          </cell>
          <cell r="K4">
            <v>2.4630340562508319E-3</v>
          </cell>
        </row>
        <row r="5">
          <cell r="A5" t="str">
            <v>Target_Effluent_COD (mg/L)</v>
          </cell>
          <cell r="B5">
            <v>1435.0091524542891</v>
          </cell>
          <cell r="C5">
            <v>767.71348178725191</v>
          </cell>
          <cell r="D5">
            <v>36.923650407291298</v>
          </cell>
          <cell r="E5">
            <v>8.9227046880058865</v>
          </cell>
          <cell r="F5">
            <v>19.920162331997211</v>
          </cell>
          <cell r="G5">
            <v>2.1088145804471821</v>
          </cell>
          <cell r="H5">
            <v>0.99147789238010964</v>
          </cell>
          <cell r="I5">
            <v>4.8763408518721811E-3</v>
          </cell>
          <cell r="J5">
            <v>0.99099607710831372</v>
          </cell>
          <cell r="K5">
            <v>5.1520350343101547E-3</v>
          </cell>
        </row>
        <row r="6">
          <cell r="A6" t="str">
            <v>Target_Effluent_TKN (mg/L)</v>
          </cell>
          <cell r="B6">
            <v>8.2851736263272535</v>
          </cell>
          <cell r="C6">
            <v>12.852136233111491</v>
          </cell>
          <cell r="D6">
            <v>2.4498284000511741</v>
          </cell>
          <cell r="E6">
            <v>1.5928710754239279</v>
          </cell>
          <cell r="F6">
            <v>0.97451985732431878</v>
          </cell>
          <cell r="G6">
            <v>0.19938335085032</v>
          </cell>
          <cell r="H6">
            <v>0.97852900966415635</v>
          </cell>
          <cell r="I6">
            <v>2.3280253618496831E-2</v>
          </cell>
          <cell r="J6">
            <v>0.97731510208333139</v>
          </cell>
          <cell r="K6">
            <v>2.4596451702934799E-2</v>
          </cell>
        </row>
        <row r="7">
          <cell r="A7" t="str">
            <v>Target_Effluent_TN (mg/L)</v>
          </cell>
          <cell r="B7">
            <v>1.4891426846326501</v>
          </cell>
          <cell r="C7">
            <v>0.5605634237826902</v>
          </cell>
          <cell r="D7">
            <v>1.203011028498691</v>
          </cell>
          <cell r="E7">
            <v>0.2157857732494376</v>
          </cell>
          <cell r="F7">
            <v>0.82390255035124493</v>
          </cell>
          <cell r="G7">
            <v>8.9100953334598734E-2</v>
          </cell>
          <cell r="H7">
            <v>0.99387161409037506</v>
          </cell>
          <cell r="I7">
            <v>2.3956637501237922E-3</v>
          </cell>
          <cell r="J7">
            <v>0.99352513290820554</v>
          </cell>
          <cell r="K7">
            <v>2.5311076370565879E-3</v>
          </cell>
        </row>
        <row r="8">
          <cell r="A8" t="str">
            <v>Target_Effluent_TP (mg/L)</v>
          </cell>
          <cell r="B8">
            <v>0.68727543380188905</v>
          </cell>
          <cell r="C8">
            <v>0.63390207051440639</v>
          </cell>
          <cell r="D8">
            <v>0.77528890205222156</v>
          </cell>
          <cell r="E8">
            <v>0.30948443176883322</v>
          </cell>
          <cell r="F8">
            <v>0.41385551625923711</v>
          </cell>
          <cell r="G8">
            <v>6.9409313816999899E-2</v>
          </cell>
          <cell r="H8">
            <v>0.98739004200310931</v>
          </cell>
          <cell r="I8">
            <v>1.224490730829232E-2</v>
          </cell>
          <cell r="J8">
            <v>0.98667711151565263</v>
          </cell>
          <cell r="K8">
            <v>1.293719888755974E-2</v>
          </cell>
        </row>
        <row r="9">
          <cell r="A9" t="str">
            <v>Target_Effluent_TSS (mg/L)</v>
          </cell>
          <cell r="B9">
            <v>1552.796573516847</v>
          </cell>
          <cell r="C9">
            <v>843.06763454682687</v>
          </cell>
          <cell r="D9">
            <v>38.130894996782793</v>
          </cell>
          <cell r="E9">
            <v>10.479154984018511</v>
          </cell>
          <cell r="F9">
            <v>18.857602432526061</v>
          </cell>
          <cell r="G9">
            <v>3.6581819502358521</v>
          </cell>
          <cell r="H9">
            <v>0.98632056833650594</v>
          </cell>
          <cell r="I9">
            <v>7.7205444016162786E-3</v>
          </cell>
          <cell r="J9">
            <v>0.98554717290676774</v>
          </cell>
          <cell r="K9">
            <v>8.1570416116016602E-3</v>
          </cell>
        </row>
        <row r="10">
          <cell r="A10" t="str">
            <v>Target_Effluent_VSS (mg/L)</v>
          </cell>
          <cell r="B10">
            <v>1103.1494626059909</v>
          </cell>
          <cell r="C10">
            <v>735.33317743505131</v>
          </cell>
          <cell r="D10">
            <v>31.80220820142225</v>
          </cell>
          <cell r="E10">
            <v>10.09780042712177</v>
          </cell>
          <cell r="F10">
            <v>16.117838719172759</v>
          </cell>
          <cell r="G10">
            <v>3.2062944359457148</v>
          </cell>
          <cell r="H10">
            <v>0.985565475114484</v>
          </cell>
          <cell r="I10">
            <v>1.0201762918722599E-2</v>
          </cell>
          <cell r="J10">
            <v>0.98474938890187536</v>
          </cell>
          <cell r="K10">
            <v>1.077854103426874E-2</v>
          </cell>
        </row>
        <row r="11">
          <cell r="A11" t="str">
            <v>Target_Effluent_X_AUT (mg/L)</v>
          </cell>
          <cell r="B11">
            <v>0.13218899641091719</v>
          </cell>
          <cell r="C11">
            <v>4.7321165291248288E-2</v>
          </cell>
          <cell r="D11">
            <v>0.35809125282348109</v>
          </cell>
          <cell r="E11">
            <v>6.6329573278917836E-2</v>
          </cell>
          <cell r="F11">
            <v>0.21272279434144481</v>
          </cell>
          <cell r="G11">
            <v>3.3788570231360462E-2</v>
          </cell>
          <cell r="H11">
            <v>0.99429409409715375</v>
          </cell>
          <cell r="I11">
            <v>2.1629842824006959E-3</v>
          </cell>
          <cell r="J11">
            <v>0.99397149871042034</v>
          </cell>
          <cell r="K11">
            <v>2.2852731464233491E-3</v>
          </cell>
        </row>
        <row r="12">
          <cell r="A12" t="str">
            <v>Target_Effluent_X_H (mg/L)</v>
          </cell>
          <cell r="B12">
            <v>43.238049123640742</v>
          </cell>
          <cell r="C12">
            <v>23.79288527385955</v>
          </cell>
          <cell r="D12">
            <v>6.3508190479090496</v>
          </cell>
          <cell r="E12">
            <v>1.7966470451483689</v>
          </cell>
          <cell r="F12">
            <v>3.1436542930377391</v>
          </cell>
          <cell r="G12">
            <v>0.51221158206836115</v>
          </cell>
          <cell r="H12">
            <v>0.99014038240579738</v>
          </cell>
          <cell r="I12">
            <v>5.2587519295196608E-3</v>
          </cell>
          <cell r="J12">
            <v>0.9895829481955245</v>
          </cell>
          <cell r="K12">
            <v>5.5560665262415921E-3</v>
          </cell>
        </row>
        <row r="13">
          <cell r="A13" t="str">
            <v>Target_Effluent_X_PAO (mg/L)</v>
          </cell>
          <cell r="B13">
            <v>0.51447159889778948</v>
          </cell>
          <cell r="C13">
            <v>1.3949718724122671</v>
          </cell>
          <cell r="D13">
            <v>0.44901790056474372</v>
          </cell>
          <cell r="E13">
            <v>0.5895898045536212</v>
          </cell>
          <cell r="F13">
            <v>0.16593119794123701</v>
          </cell>
          <cell r="G13">
            <v>6.5723453624142211E-2</v>
          </cell>
          <cell r="H13">
            <v>0.95393018028252552</v>
          </cell>
          <cell r="I13">
            <v>0.11495317431456351</v>
          </cell>
          <cell r="J13">
            <v>0.95132552616422306</v>
          </cell>
          <cell r="K13">
            <v>0.1214522937104399</v>
          </cell>
        </row>
        <row r="14">
          <cell r="A14" t="str">
            <v>Target_Wastage_BOD (mg/L)</v>
          </cell>
          <cell r="B14">
            <v>1429.47405981268</v>
          </cell>
          <cell r="C14">
            <v>802.1859323238308</v>
          </cell>
          <cell r="D14">
            <v>36.694367324467898</v>
          </cell>
          <cell r="E14">
            <v>9.603093625939449</v>
          </cell>
          <cell r="F14">
            <v>20.562598037018709</v>
          </cell>
          <cell r="G14">
            <v>3.3284332219097248</v>
          </cell>
          <cell r="H14">
            <v>0.99553639730670618</v>
          </cell>
          <cell r="I14">
            <v>2.3891027182633652E-3</v>
          </cell>
          <cell r="J14">
            <v>0.99528403814383437</v>
          </cell>
          <cell r="K14">
            <v>2.5241756634655048E-3</v>
          </cell>
        </row>
        <row r="15">
          <cell r="A15" t="str">
            <v>Target_Wastage_COD (mg/L)</v>
          </cell>
          <cell r="B15">
            <v>99367.712374946204</v>
          </cell>
          <cell r="C15">
            <v>147911.90696954171</v>
          </cell>
          <cell r="D15">
            <v>276.82606567691022</v>
          </cell>
          <cell r="E15">
            <v>158.93758990660871</v>
          </cell>
          <cell r="F15">
            <v>149.77574664441241</v>
          </cell>
          <cell r="G15">
            <v>23.746376096193281</v>
          </cell>
          <cell r="H15">
            <v>0.99266215918429102</v>
          </cell>
          <cell r="I15">
            <v>1.122769928706862E-2</v>
          </cell>
          <cell r="J15">
            <v>0.99224729892615893</v>
          </cell>
          <cell r="K15">
            <v>1.186248087220323E-2</v>
          </cell>
        </row>
        <row r="16">
          <cell r="A16" t="str">
            <v>Target_Wastage_TKN (mg/L)</v>
          </cell>
          <cell r="B16">
            <v>57.427906424514468</v>
          </cell>
          <cell r="C16">
            <v>52.882373245228372</v>
          </cell>
          <cell r="D16">
            <v>7.113694714328858</v>
          </cell>
          <cell r="E16">
            <v>2.7534329957435002</v>
          </cell>
          <cell r="F16">
            <v>4.0909535524503253</v>
          </cell>
          <cell r="G16">
            <v>0.59022840955063771</v>
          </cell>
          <cell r="H16">
            <v>0.99572682537572688</v>
          </cell>
          <cell r="I16">
            <v>3.943819061599174E-3</v>
          </cell>
          <cell r="J16">
            <v>0.99548523246410703</v>
          </cell>
          <cell r="K16">
            <v>4.1667911640217454E-3</v>
          </cell>
        </row>
        <row r="17">
          <cell r="A17" t="str">
            <v>Target_Wastage_TN (mg/L)</v>
          </cell>
          <cell r="B17">
            <v>144.7046955695599</v>
          </cell>
          <cell r="C17">
            <v>356.58663950262343</v>
          </cell>
          <cell r="D17">
            <v>8.4627625193231015</v>
          </cell>
          <cell r="E17">
            <v>9.0114955048846124</v>
          </cell>
          <cell r="F17">
            <v>4.1534488134929024</v>
          </cell>
          <cell r="G17">
            <v>1.0286341190695341</v>
          </cell>
          <cell r="H17">
            <v>0.98795427997228347</v>
          </cell>
          <cell r="I17">
            <v>2.993875869260372E-2</v>
          </cell>
          <cell r="J17">
            <v>0.98727324986470921</v>
          </cell>
          <cell r="K17">
            <v>3.1631409360736808E-2</v>
          </cell>
        </row>
        <row r="18">
          <cell r="A18" t="str">
            <v>Target_Wastage_TP (mg/L)</v>
          </cell>
          <cell r="B18">
            <v>178.49349226312091</v>
          </cell>
          <cell r="C18">
            <v>279.01810878406491</v>
          </cell>
          <cell r="D18">
            <v>10.927274973600751</v>
          </cell>
          <cell r="E18">
            <v>8.1026850086485176</v>
          </cell>
          <cell r="F18">
            <v>4.2155193231091257</v>
          </cell>
          <cell r="G18">
            <v>1.4992111162469171</v>
          </cell>
          <cell r="H18">
            <v>0.98418569483443874</v>
          </cell>
          <cell r="I18">
            <v>2.1091043048718821E-2</v>
          </cell>
          <cell r="J18">
            <v>0.98329159984274628</v>
          </cell>
          <cell r="K18">
            <v>2.2283469510837199E-2</v>
          </cell>
        </row>
        <row r="19">
          <cell r="A19" t="str">
            <v>Target_Wastage_TSS (mg/L)</v>
          </cell>
          <cell r="B19">
            <v>40696.656850434279</v>
          </cell>
          <cell r="C19">
            <v>25146.436816666988</v>
          </cell>
          <cell r="D19">
            <v>195.56894460397041</v>
          </cell>
          <cell r="E19">
            <v>52.169006943495852</v>
          </cell>
          <cell r="F19">
            <v>117.669031807878</v>
          </cell>
          <cell r="G19">
            <v>10.967604079226961</v>
          </cell>
          <cell r="H19">
            <v>0.99560899914326062</v>
          </cell>
          <cell r="I19">
            <v>2.8543491545585911E-3</v>
          </cell>
          <cell r="J19">
            <v>0.99536074467786195</v>
          </cell>
          <cell r="K19">
            <v>3.015725785204993E-3</v>
          </cell>
        </row>
        <row r="20">
          <cell r="A20" t="str">
            <v>Target_Wastage_VSS (mg/L)</v>
          </cell>
          <cell r="B20">
            <v>43894.796699343453</v>
          </cell>
          <cell r="C20">
            <v>57142.932075526849</v>
          </cell>
          <cell r="D20">
            <v>188.7816651668453</v>
          </cell>
          <cell r="E20">
            <v>95.779141757230889</v>
          </cell>
          <cell r="F20">
            <v>102.3350475259774</v>
          </cell>
          <cell r="G20">
            <v>15.00180916704325</v>
          </cell>
          <cell r="H20">
            <v>0.99294664147244416</v>
          </cell>
          <cell r="I20">
            <v>9.4675532743057813E-3</v>
          </cell>
          <cell r="J20">
            <v>0.99254786501858949</v>
          </cell>
          <cell r="K20">
            <v>1.00028213039485E-2</v>
          </cell>
        </row>
        <row r="21">
          <cell r="A21" t="str">
            <v>Target_Wastage_X_AUT (mg/L)</v>
          </cell>
          <cell r="B21">
            <v>23.324517422639669</v>
          </cell>
          <cell r="C21">
            <v>11.18864112535017</v>
          </cell>
          <cell r="D21">
            <v>4.7169808979446701</v>
          </cell>
          <cell r="E21">
            <v>1.0927074585962919</v>
          </cell>
          <cell r="F21">
            <v>3.0135241028689919</v>
          </cell>
          <cell r="G21">
            <v>0.61516017240221776</v>
          </cell>
          <cell r="H21">
            <v>0.99449680625910519</v>
          </cell>
          <cell r="I21">
            <v>2.5105778603962E-3</v>
          </cell>
          <cell r="J21">
            <v>0.99418567163064464</v>
          </cell>
          <cell r="K21">
            <v>2.6525186581571082E-3</v>
          </cell>
        </row>
        <row r="22">
          <cell r="A22" t="str">
            <v>Target_Wastage_X_H (mg/L)</v>
          </cell>
          <cell r="B22">
            <v>4045.5448098038901</v>
          </cell>
          <cell r="C22">
            <v>2347.0979525110329</v>
          </cell>
          <cell r="D22">
            <v>61.507524001950458</v>
          </cell>
          <cell r="E22">
            <v>17.07399910693897</v>
          </cell>
          <cell r="F22">
            <v>33.996083054438813</v>
          </cell>
          <cell r="G22">
            <v>5.6844317678623062</v>
          </cell>
          <cell r="H22">
            <v>0.99500460911967059</v>
          </cell>
          <cell r="I22">
            <v>2.8132900313323828E-3</v>
          </cell>
          <cell r="J22">
            <v>0.99472218419357428</v>
          </cell>
          <cell r="K22">
            <v>2.9723452981215161E-3</v>
          </cell>
        </row>
        <row r="23">
          <cell r="A23" t="str">
            <v>Target_Wastage_X_PAO (mg/L)</v>
          </cell>
          <cell r="B23">
            <v>343675.55134751572</v>
          </cell>
          <cell r="C23">
            <v>1086768.8558495729</v>
          </cell>
          <cell r="D23">
            <v>188.00988559778389</v>
          </cell>
          <cell r="E23">
            <v>585.30887787278027</v>
          </cell>
          <cell r="F23">
            <v>12.75099447448531</v>
          </cell>
          <cell r="G23">
            <v>34.957001388133428</v>
          </cell>
          <cell r="H23">
            <v>-145.0687703596108</v>
          </cell>
          <cell r="I23">
            <v>461.88219042469501</v>
          </cell>
          <cell r="J23">
            <v>-153.32707539761</v>
          </cell>
          <cell r="K23">
            <v>487.99567115541981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scaled_log_cal_data"/>
      <sheetName val="validation_data"/>
      <sheetName val="validation_statistics"/>
      <sheetName val="validation_prediction"/>
      <sheetName val="scaled_log_val_data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56.84808595479732</v>
          </cell>
          <cell r="C4">
            <v>63.511779816063672</v>
          </cell>
          <cell r="D4">
            <v>6.9335643094695829</v>
          </cell>
          <cell r="E4">
            <v>3.122280491572162</v>
          </cell>
          <cell r="F4">
            <v>3.5561081170072049</v>
          </cell>
          <cell r="G4">
            <v>0.8097887410718162</v>
          </cell>
          <cell r="H4">
            <v>0.96721890483460427</v>
          </cell>
          <cell r="I4">
            <v>3.6457114502558008E-2</v>
          </cell>
          <cell r="J4">
            <v>0.92282246098855669</v>
          </cell>
          <cell r="K4">
            <v>8.5832104222557853E-2</v>
          </cell>
        </row>
        <row r="5">
          <cell r="A5" t="str">
            <v>Target_Effluent_COD (mg/L)</v>
          </cell>
          <cell r="B5">
            <v>11972.546144792541</v>
          </cell>
          <cell r="C5">
            <v>26770.21661077215</v>
          </cell>
          <cell r="D5">
            <v>81.005323104677089</v>
          </cell>
          <cell r="E5">
            <v>77.536255129092908</v>
          </cell>
          <cell r="F5">
            <v>36.482874307273462</v>
          </cell>
          <cell r="G5">
            <v>11.93285730091459</v>
          </cell>
          <cell r="H5">
            <v>0.92633073164875834</v>
          </cell>
          <cell r="I5">
            <v>0.16828843011539951</v>
          </cell>
          <cell r="J5">
            <v>0.82655817923605301</v>
          </cell>
          <cell r="K5">
            <v>0.39620661893310583</v>
          </cell>
        </row>
        <row r="6">
          <cell r="A6" t="str">
            <v>Target_Effluent_TKN (mg/L)</v>
          </cell>
          <cell r="B6">
            <v>24.550280097813229</v>
          </cell>
          <cell r="C6">
            <v>48.389429196787518</v>
          </cell>
          <cell r="D6">
            <v>3.9554121915424032</v>
          </cell>
          <cell r="E6">
            <v>3.145542612228533</v>
          </cell>
          <cell r="F6">
            <v>1.7092790071559281</v>
          </cell>
          <cell r="G6">
            <v>0.64225160940529347</v>
          </cell>
          <cell r="H6">
            <v>0.9413221333824483</v>
          </cell>
          <cell r="I6">
            <v>8.8298955365268342E-2</v>
          </cell>
          <cell r="J6">
            <v>0.86185289670355902</v>
          </cell>
          <cell r="K6">
            <v>0.20788494215917511</v>
          </cell>
        </row>
        <row r="7">
          <cell r="A7" t="str">
            <v>Target_Effluent_TN (mg/L)</v>
          </cell>
          <cell r="B7">
            <v>27.0794715251937</v>
          </cell>
          <cell r="C7">
            <v>70.442870974606492</v>
          </cell>
          <cell r="D7">
            <v>3.4368834991397259</v>
          </cell>
          <cell r="E7">
            <v>4.1186976553456498</v>
          </cell>
          <cell r="F7">
            <v>1.4326334394550939</v>
          </cell>
          <cell r="G7">
            <v>0.4785407072165897</v>
          </cell>
          <cell r="H7">
            <v>0.893651996352955</v>
          </cell>
          <cell r="I7">
            <v>0.2732608527525292</v>
          </cell>
          <cell r="J7">
            <v>0.7496216292089255</v>
          </cell>
          <cell r="K7">
            <v>0.6433464171102854</v>
          </cell>
        </row>
        <row r="8">
          <cell r="A8" t="str">
            <v>Target_Effluent_TP (mg/L)</v>
          </cell>
          <cell r="B8">
            <v>4.6471395443436307</v>
          </cell>
          <cell r="C8">
            <v>9.2739274996035004</v>
          </cell>
          <cell r="D8">
            <v>1.7223723076657489</v>
          </cell>
          <cell r="E8">
            <v>1.3664931508263509</v>
          </cell>
          <cell r="F8">
            <v>0.93415856427787536</v>
          </cell>
          <cell r="G8">
            <v>0.1552232158217377</v>
          </cell>
          <cell r="H8">
            <v>0.91187562873398742</v>
          </cell>
          <cell r="I8">
            <v>0.180894228609255</v>
          </cell>
          <cell r="J8">
            <v>0.79252608654694678</v>
          </cell>
          <cell r="K8">
            <v>0.42588483743438788</v>
          </cell>
        </row>
        <row r="9">
          <cell r="A9" t="str">
            <v>Target_Effluent_TSS (mg/L)</v>
          </cell>
          <cell r="B9">
            <v>8062.0203900312308</v>
          </cell>
          <cell r="C9">
            <v>5836.2845147004418</v>
          </cell>
          <cell r="D9">
            <v>86.252198895479893</v>
          </cell>
          <cell r="E9">
            <v>26.30121618915511</v>
          </cell>
          <cell r="F9">
            <v>46.117052886827871</v>
          </cell>
          <cell r="G9">
            <v>8.4635080175860828</v>
          </cell>
          <cell r="H9">
            <v>0.92865840825245449</v>
          </cell>
          <cell r="I9">
            <v>5.3915838825796703E-2</v>
          </cell>
          <cell r="J9">
            <v>0.83203829974396781</v>
          </cell>
          <cell r="K9">
            <v>0.12693571503081269</v>
          </cell>
        </row>
        <row r="10">
          <cell r="A10" t="str">
            <v>Target_Effluent_VSS (mg/L)</v>
          </cell>
          <cell r="B10">
            <v>6589.523784471794</v>
          </cell>
          <cell r="C10">
            <v>7087.6404778675142</v>
          </cell>
          <cell r="D10">
            <v>74.890203161334753</v>
          </cell>
          <cell r="E10">
            <v>33.014832608083552</v>
          </cell>
          <cell r="F10">
            <v>37.631805573993738</v>
          </cell>
          <cell r="G10">
            <v>7.496769295693082</v>
          </cell>
          <cell r="H10">
            <v>0.91278405190577261</v>
          </cell>
          <cell r="I10">
            <v>9.8679855166504654E-2</v>
          </cell>
          <cell r="J10">
            <v>0.79466481511674003</v>
          </cell>
          <cell r="K10">
            <v>0.23232501334476291</v>
          </cell>
        </row>
        <row r="11">
          <cell r="A11" t="str">
            <v>Target_Effluent_X_AUT (mg/L)</v>
          </cell>
          <cell r="B11">
            <v>230523584513.82059</v>
          </cell>
          <cell r="C11">
            <v>728979581448.00989</v>
          </cell>
          <cell r="D11">
            <v>151830.73618738839</v>
          </cell>
          <cell r="E11">
            <v>480128.46899162338</v>
          </cell>
          <cell r="F11">
            <v>8766.4198124700906</v>
          </cell>
          <cell r="G11">
            <v>27720.267399884218</v>
          </cell>
          <cell r="H11">
            <v>-10679163544.370529</v>
          </cell>
          <cell r="I11">
            <v>33770480308.725021</v>
          </cell>
          <cell r="J11">
            <v>-25142282676.683361</v>
          </cell>
          <cell r="K11">
            <v>79506878837.077011</v>
          </cell>
        </row>
        <row r="12">
          <cell r="A12" t="str">
            <v>Target_Effluent_X_H (mg/L)</v>
          </cell>
          <cell r="B12">
            <v>228.36665777074751</v>
          </cell>
          <cell r="C12">
            <v>294.92193927311422</v>
          </cell>
          <cell r="D12">
            <v>13.537775079489821</v>
          </cell>
          <cell r="E12">
            <v>7.0785516148661536</v>
          </cell>
          <cell r="F12">
            <v>6.975928770437565</v>
          </cell>
          <cell r="G12">
            <v>1.925790442641508</v>
          </cell>
          <cell r="H12">
            <v>0.94834614952533669</v>
          </cell>
          <cell r="I12">
            <v>6.5570849185152782E-2</v>
          </cell>
          <cell r="J12">
            <v>0.8783897536068952</v>
          </cell>
          <cell r="K12">
            <v>0.1543754638296117</v>
          </cell>
        </row>
        <row r="13">
          <cell r="A13" t="str">
            <v>Target_Effluent_X_PAO (mg/L)</v>
          </cell>
          <cell r="B13">
            <v>0.86734377583262012</v>
          </cell>
          <cell r="C13">
            <v>1.870950080299983</v>
          </cell>
          <cell r="D13">
            <v>0.71982928304234972</v>
          </cell>
          <cell r="E13">
            <v>0.62288716572939318</v>
          </cell>
          <cell r="F13">
            <v>0.35865802680015718</v>
          </cell>
          <cell r="G13">
            <v>0.10224694595942389</v>
          </cell>
          <cell r="H13">
            <v>0.91552873071469421</v>
          </cell>
          <cell r="I13">
            <v>0.15138286005983911</v>
          </cell>
          <cell r="J13">
            <v>0.80112669672199655</v>
          </cell>
          <cell r="K13">
            <v>0.35640531620387311</v>
          </cell>
        </row>
        <row r="14">
          <cell r="A14" t="str">
            <v>Target_Wastage_BOD (mg/L)</v>
          </cell>
          <cell r="B14">
            <v>3063.8373186872968</v>
          </cell>
          <cell r="C14">
            <v>3135.109360586564</v>
          </cell>
          <cell r="D14">
            <v>49.280376654628988</v>
          </cell>
          <cell r="E14">
            <v>26.568188903799861</v>
          </cell>
          <cell r="F14">
            <v>25.93902004836151</v>
          </cell>
          <cell r="G14">
            <v>12.4369765010342</v>
          </cell>
          <cell r="H14">
            <v>0.9906250408038918</v>
          </cell>
          <cell r="I14">
            <v>9.2118197289267865E-3</v>
          </cell>
          <cell r="J14">
            <v>0.97792824567215475</v>
          </cell>
          <cell r="K14">
            <v>2.1687670070465442E-2</v>
          </cell>
        </row>
        <row r="15">
          <cell r="A15" t="str">
            <v>Target_Wastage_COD (mg/L)</v>
          </cell>
          <cell r="B15">
            <v>4120184.748049614</v>
          </cell>
          <cell r="C15">
            <v>12728386.102554509</v>
          </cell>
          <cell r="D15">
            <v>897.0561157046086</v>
          </cell>
          <cell r="E15">
            <v>1919.338738364097</v>
          </cell>
          <cell r="F15">
            <v>250.62817332835729</v>
          </cell>
          <cell r="G15">
            <v>198.5712835368532</v>
          </cell>
          <cell r="H15">
            <v>0.68899906830280799</v>
          </cell>
          <cell r="I15">
            <v>0.96127194213367451</v>
          </cell>
          <cell r="J15">
            <v>0.26780095608298871</v>
          </cell>
          <cell r="K15">
            <v>2.26315205273991</v>
          </cell>
        </row>
        <row r="16">
          <cell r="A16" t="str">
            <v>Target_Wastage_TKN (mg/L)</v>
          </cell>
          <cell r="B16">
            <v>700.84321870697568</v>
          </cell>
          <cell r="C16">
            <v>2006.6141018246069</v>
          </cell>
          <cell r="D16">
            <v>14.886356314579929</v>
          </cell>
          <cell r="E16">
            <v>23.075711482526909</v>
          </cell>
          <cell r="F16">
            <v>5.6511947796458966</v>
          </cell>
          <cell r="G16">
            <v>2.8780681412363172</v>
          </cell>
          <cell r="H16">
            <v>0.94820263892420065</v>
          </cell>
          <cell r="I16">
            <v>0.14826313499004659</v>
          </cell>
          <cell r="J16">
            <v>0.87805188219162211</v>
          </cell>
          <cell r="K16">
            <v>0.34906045166947991</v>
          </cell>
        </row>
        <row r="17">
          <cell r="A17" t="str">
            <v>Target_Wastage_TN (mg/L)</v>
          </cell>
          <cell r="B17">
            <v>13982.30570339806</v>
          </cell>
          <cell r="C17">
            <v>44025.487052467332</v>
          </cell>
          <cell r="D17">
            <v>44.162653362374613</v>
          </cell>
          <cell r="E17">
            <v>115.62374684674811</v>
          </cell>
          <cell r="F17">
            <v>7.3103739876337688</v>
          </cell>
          <cell r="G17">
            <v>7.673495262629717</v>
          </cell>
          <cell r="H17">
            <v>-0.17251504954031091</v>
          </cell>
          <cell r="I17">
            <v>3.6925237816842871</v>
          </cell>
          <cell r="J17">
            <v>-1.760488187500417</v>
          </cell>
          <cell r="K17">
            <v>8.6934221316819027</v>
          </cell>
        </row>
        <row r="18">
          <cell r="A18" t="str">
            <v>Target_Wastage_TP (mg/L)</v>
          </cell>
          <cell r="B18">
            <v>283.07541675827792</v>
          </cell>
          <cell r="C18">
            <v>458.94288507166408</v>
          </cell>
          <cell r="D18">
            <v>13.43545758705481</v>
          </cell>
          <cell r="E18">
            <v>10.675199513343969</v>
          </cell>
          <cell r="F18">
            <v>4.857318636682284</v>
          </cell>
          <cell r="G18">
            <v>1.8281591375390021</v>
          </cell>
          <cell r="H18">
            <v>0.97528099144157243</v>
          </cell>
          <cell r="I18">
            <v>3.4818222110572818E-2</v>
          </cell>
          <cell r="J18">
            <v>0.9418032790632298</v>
          </cell>
          <cell r="K18">
            <v>8.1973609535915565E-2</v>
          </cell>
        </row>
        <row r="19">
          <cell r="A19" t="str">
            <v>Target_Wastage_TSS (mg/L)</v>
          </cell>
          <cell r="B19">
            <v>105238.93574779011</v>
          </cell>
          <cell r="C19">
            <v>79228.149238963582</v>
          </cell>
          <cell r="D19">
            <v>300.37776980944921</v>
          </cell>
          <cell r="E19">
            <v>129.15163848959199</v>
          </cell>
          <cell r="F19">
            <v>204.8422562394552</v>
          </cell>
          <cell r="G19">
            <v>95.642360316941705</v>
          </cell>
          <cell r="H19">
            <v>0.98884532935090808</v>
          </cell>
          <cell r="I19">
            <v>8.2932260994594276E-3</v>
          </cell>
          <cell r="J19">
            <v>0.97373821634583868</v>
          </cell>
          <cell r="K19">
            <v>1.9524996879829719E-2</v>
          </cell>
        </row>
        <row r="20">
          <cell r="A20" t="str">
            <v>Target_Wastage_VSS (mg/L)</v>
          </cell>
          <cell r="B20">
            <v>206209.79856345651</v>
          </cell>
          <cell r="C20">
            <v>500712.13456686458</v>
          </cell>
          <cell r="D20">
            <v>307.14018179619268</v>
          </cell>
          <cell r="E20">
            <v>352.56946878855302</v>
          </cell>
          <cell r="F20">
            <v>149.55131654386449</v>
          </cell>
          <cell r="G20">
            <v>77.696368443441671</v>
          </cell>
          <cell r="H20">
            <v>0.96621142733943066</v>
          </cell>
          <cell r="I20">
            <v>8.2486701273078708E-2</v>
          </cell>
          <cell r="J20">
            <v>0.92045052578338427</v>
          </cell>
          <cell r="K20">
            <v>0.19420097386339011</v>
          </cell>
        </row>
        <row r="21">
          <cell r="A21" t="str">
            <v>Target_Wastage_X_AUT (mg/L)</v>
          </cell>
          <cell r="B21">
            <v>440.44541496394493</v>
          </cell>
          <cell r="C21">
            <v>1349.050693356591</v>
          </cell>
          <cell r="D21">
            <v>9.8813874005773581</v>
          </cell>
          <cell r="E21">
            <v>19.516477312023522</v>
          </cell>
          <cell r="F21">
            <v>2.7063131866949801</v>
          </cell>
          <cell r="G21">
            <v>1.218711789228399</v>
          </cell>
          <cell r="H21">
            <v>0.90208126299549618</v>
          </cell>
          <cell r="I21">
            <v>0.29921443700172562</v>
          </cell>
          <cell r="J21">
            <v>0.7694669105169557</v>
          </cell>
          <cell r="K21">
            <v>0.70444973750799988</v>
          </cell>
        </row>
        <row r="22">
          <cell r="A22" t="str">
            <v>Target_Wastage_X_H (mg/L)</v>
          </cell>
          <cell r="B22">
            <v>5120.6650451797577</v>
          </cell>
          <cell r="C22">
            <v>4091.9936142509309</v>
          </cell>
          <cell r="D22">
            <v>66.848518786003382</v>
          </cell>
          <cell r="E22">
            <v>26.914279177853821</v>
          </cell>
          <cell r="F22">
            <v>34.979098056599263</v>
          </cell>
          <cell r="G22">
            <v>13.82011983184235</v>
          </cell>
          <cell r="H22">
            <v>0.99379354361050987</v>
          </cell>
          <cell r="I22">
            <v>4.6485447172542891E-3</v>
          </cell>
          <cell r="J22">
            <v>0.98538794913025551</v>
          </cell>
          <cell r="K22">
            <v>1.094421157841753E-2</v>
          </cell>
        </row>
        <row r="23">
          <cell r="A23" t="str">
            <v>Target_Wastage_X_PAO (mg/L)</v>
          </cell>
          <cell r="B23">
            <v>45.011213496311058</v>
          </cell>
          <cell r="C23">
            <v>109.8316754113238</v>
          </cell>
          <cell r="D23">
            <v>4.7278080558579294</v>
          </cell>
          <cell r="E23">
            <v>5.0176404905621554</v>
          </cell>
          <cell r="F23">
            <v>2.070577855539173</v>
          </cell>
          <cell r="G23">
            <v>0.53979112402333895</v>
          </cell>
          <cell r="H23">
            <v>0.975740972237646</v>
          </cell>
          <cell r="I23">
            <v>4.4983724365796382E-2</v>
          </cell>
          <cell r="J23">
            <v>0.94288622597682004</v>
          </cell>
          <cell r="K23">
            <v>0.1059065636643553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7256.1297893263227</v>
          </cell>
          <cell r="C4">
            <v>20695.240387606071</v>
          </cell>
          <cell r="D4">
            <v>49.501375976947287</v>
          </cell>
          <cell r="E4">
            <v>73.073354056160042</v>
          </cell>
          <cell r="F4">
            <v>17.12861506019086</v>
          </cell>
          <cell r="G4">
            <v>5.7744855063303744</v>
          </cell>
          <cell r="H4">
            <v>-3.17644237005555</v>
          </cell>
          <cell r="I4">
            <v>11.915369292175249</v>
          </cell>
          <cell r="J4">
            <v>-3.4125663203060399</v>
          </cell>
          <cell r="K4">
            <v>12.58902974685653</v>
          </cell>
        </row>
        <row r="5">
          <cell r="A5" t="str">
            <v>Target_Effluent_COD (mg/L)</v>
          </cell>
          <cell r="B5">
            <v>132594.63941377809</v>
          </cell>
          <cell r="C5">
            <v>294997.71504442202</v>
          </cell>
          <cell r="D5">
            <v>276.4308452091903</v>
          </cell>
          <cell r="E5">
            <v>249.84579072947011</v>
          </cell>
          <cell r="F5">
            <v>146.08586812640431</v>
          </cell>
          <cell r="G5">
            <v>26.71176333590806</v>
          </cell>
          <cell r="H5">
            <v>0.1839429459906271</v>
          </cell>
          <cell r="I5">
            <v>1.8554687975468389</v>
          </cell>
          <cell r="J5">
            <v>0.13780544470387801</v>
          </cell>
          <cell r="K5">
            <v>1.960371627090123</v>
          </cell>
        </row>
        <row r="6">
          <cell r="A6" t="str">
            <v>Target_Effluent_TKN (mg/L)</v>
          </cell>
          <cell r="B6">
            <v>135.3506478849263</v>
          </cell>
          <cell r="C6">
            <v>110.7113488043106</v>
          </cell>
          <cell r="D6">
            <v>10.98148739029476</v>
          </cell>
          <cell r="E6">
            <v>4.0493596999640307</v>
          </cell>
          <cell r="F6">
            <v>4.5306304431103266</v>
          </cell>
          <cell r="G6">
            <v>0.76637042390774957</v>
          </cell>
          <cell r="H6">
            <v>0.61340223187189724</v>
          </cell>
          <cell r="I6">
            <v>0.1903554910798326</v>
          </cell>
          <cell r="J6">
            <v>0.59154511423921308</v>
          </cell>
          <cell r="K6">
            <v>0.20111763898540619</v>
          </cell>
        </row>
        <row r="7">
          <cell r="A7" t="str">
            <v>Target_Effluent_TN (mg/L)</v>
          </cell>
          <cell r="B7">
            <v>32.413648027777917</v>
          </cell>
          <cell r="C7">
            <v>50.639782523652357</v>
          </cell>
          <cell r="D7">
            <v>4.9393343772099758</v>
          </cell>
          <cell r="E7">
            <v>2.9845200503579332</v>
          </cell>
          <cell r="F7">
            <v>2.9260616230183758</v>
          </cell>
          <cell r="G7">
            <v>0.44913762185728162</v>
          </cell>
          <cell r="H7">
            <v>0.87050189983248494</v>
          </cell>
          <cell r="I7">
            <v>0.19570066090140459</v>
          </cell>
          <cell r="J7">
            <v>0.86318045247319064</v>
          </cell>
          <cell r="K7">
            <v>0.2067650092209187</v>
          </cell>
        </row>
        <row r="8">
          <cell r="A8" t="str">
            <v>Target_Effluent_TP (mg/L)</v>
          </cell>
          <cell r="B8">
            <v>6.2461090590381518</v>
          </cell>
          <cell r="C8">
            <v>3.8701893893850912</v>
          </cell>
          <cell r="D8">
            <v>2.426053202329856</v>
          </cell>
          <cell r="E8">
            <v>0.63278477866859895</v>
          </cell>
          <cell r="F8">
            <v>1.7285180757719609</v>
          </cell>
          <cell r="G8">
            <v>0.1644762940957053</v>
          </cell>
          <cell r="H8">
            <v>0.88561244937332584</v>
          </cell>
          <cell r="I8">
            <v>7.5857078070399833E-2</v>
          </cell>
          <cell r="J8">
            <v>0.87914530870185303</v>
          </cell>
          <cell r="K8">
            <v>8.0145817466606192E-2</v>
          </cell>
        </row>
        <row r="9">
          <cell r="A9" t="str">
            <v>Target_Effluent_TSS (mg/L)</v>
          </cell>
          <cell r="B9">
            <v>41401771.512483649</v>
          </cell>
          <cell r="C9">
            <v>130568485.4914179</v>
          </cell>
          <cell r="D9">
            <v>2331.4194984860419</v>
          </cell>
          <cell r="E9">
            <v>6321.5903971638472</v>
          </cell>
          <cell r="F9">
            <v>369.86378394087359</v>
          </cell>
          <cell r="G9">
            <v>545.24109918557485</v>
          </cell>
          <cell r="H9">
            <v>-378.11921023664462</v>
          </cell>
          <cell r="I9">
            <v>1195.793405484814</v>
          </cell>
          <cell r="J9">
            <v>-399.55351187546552</v>
          </cell>
          <cell r="K9">
            <v>1263.400099787842</v>
          </cell>
        </row>
        <row r="10">
          <cell r="A10" t="str">
            <v>Target_Effluent_VSS (mg/L)</v>
          </cell>
          <cell r="B10">
            <v>3700996.93923582</v>
          </cell>
          <cell r="C10">
            <v>11461751.430213749</v>
          </cell>
          <cell r="D10">
            <v>849.49663635611728</v>
          </cell>
          <cell r="E10">
            <v>1819.448147120886</v>
          </cell>
          <cell r="F10">
            <v>216.02814536678491</v>
          </cell>
          <cell r="G10">
            <v>168.65649638557721</v>
          </cell>
          <cell r="H10">
            <v>-50.041627960652768</v>
          </cell>
          <cell r="I10">
            <v>158.308569648044</v>
          </cell>
          <cell r="J10">
            <v>-52.927373711078367</v>
          </cell>
          <cell r="K10">
            <v>167.25887747266839</v>
          </cell>
        </row>
        <row r="11">
          <cell r="A11" t="str">
            <v>Target_Effluent_X_AUT (mg/L)</v>
          </cell>
          <cell r="B11">
            <v>301.72534566059812</v>
          </cell>
          <cell r="C11">
            <v>889.26822332286019</v>
          </cell>
          <cell r="D11">
            <v>9.3552026878253045</v>
          </cell>
          <cell r="E11">
            <v>15.427447701717449</v>
          </cell>
          <cell r="F11">
            <v>2.792903001088189</v>
          </cell>
          <cell r="G11">
            <v>1.3461018921651631</v>
          </cell>
          <cell r="H11">
            <v>-12.899930111242959</v>
          </cell>
          <cell r="I11">
            <v>41.222874327120351</v>
          </cell>
          <cell r="J11">
            <v>-13.685791884316769</v>
          </cell>
          <cell r="K11">
            <v>43.553496197204893</v>
          </cell>
        </row>
        <row r="12">
          <cell r="A12" t="str">
            <v>Target_Effluent_X_H (mg/L)</v>
          </cell>
          <cell r="B12">
            <v>1087077.40768005</v>
          </cell>
          <cell r="C12">
            <v>3425867.7991330582</v>
          </cell>
          <cell r="D12">
            <v>383.43430547514703</v>
          </cell>
          <cell r="E12">
            <v>1022.010839834252</v>
          </cell>
          <cell r="F12">
            <v>59.158718419162497</v>
          </cell>
          <cell r="G12">
            <v>85.532722844709966</v>
          </cell>
          <cell r="H12">
            <v>-241.7956411857285</v>
          </cell>
          <cell r="I12">
            <v>765.11657091376912</v>
          </cell>
          <cell r="J12">
            <v>-255.52260323156469</v>
          </cell>
          <cell r="K12">
            <v>808.37404488769232</v>
          </cell>
        </row>
        <row r="13">
          <cell r="A13" t="str">
            <v>Target_Effluent_X_PAO (mg/L)</v>
          </cell>
          <cell r="B13">
            <v>703206746.98329043</v>
          </cell>
          <cell r="C13">
            <v>2223734964.3532262</v>
          </cell>
          <cell r="D13">
            <v>8388.1019644994085</v>
          </cell>
          <cell r="E13">
            <v>26517.21647065568</v>
          </cell>
          <cell r="F13">
            <v>486.32544005270381</v>
          </cell>
          <cell r="G13">
            <v>1533.1916780857159</v>
          </cell>
          <cell r="H13">
            <v>-58495508.176777557</v>
          </cell>
          <cell r="I13">
            <v>184979038.9672977</v>
          </cell>
          <cell r="J13">
            <v>-61802674.773344502</v>
          </cell>
          <cell r="K13">
            <v>195437217.8488411</v>
          </cell>
        </row>
        <row r="14">
          <cell r="A14" t="str">
            <v>Target_Wastage_BOD (mg/L)</v>
          </cell>
          <cell r="B14">
            <v>7661.4092890379379</v>
          </cell>
          <cell r="C14">
            <v>3007.7009563460429</v>
          </cell>
          <cell r="D14">
            <v>85.987734309906799</v>
          </cell>
          <cell r="E14">
            <v>17.240741067045409</v>
          </cell>
          <cell r="F14">
            <v>48.072557383979401</v>
          </cell>
          <cell r="G14">
            <v>6.5551040551815909</v>
          </cell>
          <cell r="H14">
            <v>0.97627405385661914</v>
          </cell>
          <cell r="I14">
            <v>8.3040794790831176E-3</v>
          </cell>
          <cell r="J14">
            <v>0.97493265760823022</v>
          </cell>
          <cell r="K14">
            <v>8.773568071540061E-3</v>
          </cell>
        </row>
        <row r="15">
          <cell r="A15" t="str">
            <v>Target_Wastage_COD (mg/L)</v>
          </cell>
          <cell r="B15">
            <v>755330.66091825278</v>
          </cell>
          <cell r="C15">
            <v>205414.36911988599</v>
          </cell>
          <cell r="D15">
            <v>862.56419802409323</v>
          </cell>
          <cell r="E15">
            <v>112.1193075121593</v>
          </cell>
          <cell r="F15">
            <v>598.83489313697964</v>
          </cell>
          <cell r="G15">
            <v>53.731069919566259</v>
          </cell>
          <cell r="H15">
            <v>0.94543245242010043</v>
          </cell>
          <cell r="I15">
            <v>1.506932364946204E-2</v>
          </cell>
          <cell r="J15">
            <v>0.94234736139084807</v>
          </cell>
          <cell r="K15">
            <v>1.592129954483806E-2</v>
          </cell>
        </row>
        <row r="16">
          <cell r="A16" t="str">
            <v>Target_Wastage_TKN (mg/L)</v>
          </cell>
          <cell r="B16">
            <v>684.0090274332797</v>
          </cell>
          <cell r="C16">
            <v>232.77562055356771</v>
          </cell>
          <cell r="D16">
            <v>25.854913860847979</v>
          </cell>
          <cell r="E16">
            <v>4.1543092327807596</v>
          </cell>
          <cell r="F16">
            <v>17.409197467920769</v>
          </cell>
          <cell r="G16">
            <v>1.8303623805733671</v>
          </cell>
          <cell r="H16">
            <v>0.94965042518979337</v>
          </cell>
          <cell r="I16">
            <v>1.6064697462083229E-2</v>
          </cell>
          <cell r="J16">
            <v>0.94680380611925175</v>
          </cell>
          <cell r="K16">
            <v>1.697294890870283E-2</v>
          </cell>
        </row>
        <row r="17">
          <cell r="A17" t="str">
            <v>Target_Wastage_TN (mg/L)</v>
          </cell>
          <cell r="B17">
            <v>617.04297629300743</v>
          </cell>
          <cell r="C17">
            <v>168.43462139530209</v>
          </cell>
          <cell r="D17">
            <v>24.65457588031963</v>
          </cell>
          <cell r="E17">
            <v>3.196328528269917</v>
          </cell>
          <cell r="F17">
            <v>17.42844263000735</v>
          </cell>
          <cell r="G17">
            <v>1.4835198051624869</v>
          </cell>
          <cell r="H17">
            <v>0.95016654356714603</v>
          </cell>
          <cell r="I17">
            <v>1.3591653292291899E-2</v>
          </cell>
          <cell r="J17">
            <v>0.94734910433419317</v>
          </cell>
          <cell r="K17">
            <v>1.4360085987262459E-2</v>
          </cell>
        </row>
        <row r="18">
          <cell r="A18" t="str">
            <v>Target_Wastage_TP (mg/L)</v>
          </cell>
          <cell r="B18">
            <v>840.25820116098203</v>
          </cell>
          <cell r="C18">
            <v>1280.4755391982681</v>
          </cell>
          <cell r="D18">
            <v>25.114377542855731</v>
          </cell>
          <cell r="E18">
            <v>15.25801216832526</v>
          </cell>
          <cell r="F18">
            <v>13.969254882725391</v>
          </cell>
          <cell r="G18">
            <v>2.860462463324466</v>
          </cell>
          <cell r="H18">
            <v>0.92503949679522068</v>
          </cell>
          <cell r="I18">
            <v>9.331410940933306E-2</v>
          </cell>
          <cell r="J18">
            <v>0.9208014471440672</v>
          </cell>
          <cell r="K18">
            <v>9.8589818775231791E-2</v>
          </cell>
        </row>
        <row r="19">
          <cell r="A19" t="str">
            <v>Target_Wastage_TSS (mg/L)</v>
          </cell>
          <cell r="B19">
            <v>522151.14207240799</v>
          </cell>
          <cell r="C19">
            <v>141548.602896625</v>
          </cell>
          <cell r="D19">
            <v>717.1132000906548</v>
          </cell>
          <cell r="E19">
            <v>93.688611475275209</v>
          </cell>
          <cell r="F19">
            <v>493.83204449826769</v>
          </cell>
          <cell r="G19">
            <v>43.631872824378483</v>
          </cell>
          <cell r="H19">
            <v>0.94421892731039558</v>
          </cell>
          <cell r="I19">
            <v>1.486564777984852E-2</v>
          </cell>
          <cell r="J19">
            <v>0.94106522708766183</v>
          </cell>
          <cell r="K19">
            <v>1.5706108431712641E-2</v>
          </cell>
        </row>
        <row r="20">
          <cell r="A20" t="str">
            <v>Target_Wastage_VSS (mg/L)</v>
          </cell>
          <cell r="B20">
            <v>353956.50434668962</v>
          </cell>
          <cell r="C20">
            <v>98671.996837259008</v>
          </cell>
          <cell r="D20">
            <v>590.25175098812144</v>
          </cell>
          <cell r="E20">
            <v>78.59442164362504</v>
          </cell>
          <cell r="F20">
            <v>407.63902779688942</v>
          </cell>
          <cell r="G20">
            <v>37.72668917999674</v>
          </cell>
          <cell r="H20">
            <v>0.9442512012304658</v>
          </cell>
          <cell r="I20">
            <v>1.5752500803991071E-2</v>
          </cell>
          <cell r="J20">
            <v>0.94109932568165822</v>
          </cell>
          <cell r="K20">
            <v>1.6643101556160129E-2</v>
          </cell>
        </row>
        <row r="21">
          <cell r="A21" t="str">
            <v>Target_Wastage_X_AUT (mg/L)</v>
          </cell>
          <cell r="B21">
            <v>97.677078118303655</v>
          </cell>
          <cell r="C21">
            <v>37.615982967370172</v>
          </cell>
          <cell r="D21">
            <v>9.7242234961266067</v>
          </cell>
          <cell r="E21">
            <v>1.860870619325772</v>
          </cell>
          <cell r="F21">
            <v>5.9346103655116877</v>
          </cell>
          <cell r="G21">
            <v>0.72091719681173871</v>
          </cell>
          <cell r="H21">
            <v>0.97729153221073728</v>
          </cell>
          <cell r="I21">
            <v>7.3223352705378813E-3</v>
          </cell>
          <cell r="J21">
            <v>0.97600766124031946</v>
          </cell>
          <cell r="K21">
            <v>7.7363188900735781E-3</v>
          </cell>
        </row>
        <row r="22">
          <cell r="A22" t="str">
            <v>Target_Wastage_X_H (mg/L)</v>
          </cell>
          <cell r="B22">
            <v>19459.58550583016</v>
          </cell>
          <cell r="C22">
            <v>7764.7826226905418</v>
          </cell>
          <cell r="D22">
            <v>136.92149653153041</v>
          </cell>
          <cell r="E22">
            <v>28.12846113806911</v>
          </cell>
          <cell r="F22">
            <v>75.148257341453316</v>
          </cell>
          <cell r="G22">
            <v>10.91059381413873</v>
          </cell>
          <cell r="H22">
            <v>0.97621723745956712</v>
          </cell>
          <cell r="I22">
            <v>8.4169691939200292E-3</v>
          </cell>
          <cell r="J22">
            <v>0.97487262897671589</v>
          </cell>
          <cell r="K22">
            <v>8.8928402437529318E-3</v>
          </cell>
        </row>
        <row r="23">
          <cell r="A23" t="str">
            <v>Target_Wastage_X_PAO (mg/L)</v>
          </cell>
          <cell r="B23">
            <v>964542.26778932533</v>
          </cell>
          <cell r="C23">
            <v>3049973.625544149</v>
          </cell>
          <cell r="D23">
            <v>317.16689611188701</v>
          </cell>
          <cell r="E23">
            <v>979.76608761710543</v>
          </cell>
          <cell r="F23">
            <v>22.41790682700756</v>
          </cell>
          <cell r="G23">
            <v>57.343398744885839</v>
          </cell>
          <cell r="H23">
            <v>-408.96421651523838</v>
          </cell>
          <cell r="I23">
            <v>1296.248729663927</v>
          </cell>
          <cell r="J23">
            <v>-432.14240543482782</v>
          </cell>
          <cell r="K23">
            <v>1369.5348769240779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3995.5745494724588</v>
          </cell>
          <cell r="C4">
            <v>8167.2650218369863</v>
          </cell>
          <cell r="D4">
            <v>50.08370825681213</v>
          </cell>
          <cell r="E4">
            <v>40.650225046787007</v>
          </cell>
          <cell r="F4">
            <v>20.820202892944319</v>
          </cell>
          <cell r="G4">
            <v>3.5267500200080422</v>
          </cell>
          <cell r="H4">
            <v>-1.2971725183766281</v>
          </cell>
          <cell r="I4">
            <v>4.7009950027656773</v>
          </cell>
          <cell r="J4">
            <v>-1.4270479964473921</v>
          </cell>
          <cell r="K4">
            <v>4.9667756389644442</v>
          </cell>
        </row>
        <row r="5">
          <cell r="A5" t="str">
            <v>Target_Effluent_COD (mg/L)</v>
          </cell>
          <cell r="B5">
            <v>70056.819822341684</v>
          </cell>
          <cell r="C5">
            <v>74095.221905781451</v>
          </cell>
          <cell r="D5">
            <v>247.07888920823609</v>
          </cell>
          <cell r="E5">
            <v>100.04911199542541</v>
          </cell>
          <cell r="F5">
            <v>158.83805931746829</v>
          </cell>
          <cell r="G5">
            <v>13.73854417840635</v>
          </cell>
          <cell r="H5">
            <v>0.57878483067198594</v>
          </cell>
          <cell r="I5">
            <v>0.47072247423662289</v>
          </cell>
          <cell r="J5">
            <v>0.55497054548029612</v>
          </cell>
          <cell r="K5">
            <v>0.49733575899911753</v>
          </cell>
        </row>
        <row r="6">
          <cell r="A6" t="str">
            <v>Target_Effluent_TKN (mg/L)</v>
          </cell>
          <cell r="B6">
            <v>7037.5940891163646</v>
          </cell>
          <cell r="C6">
            <v>21982.312415522429</v>
          </cell>
          <cell r="D6">
            <v>34.186000356759713</v>
          </cell>
          <cell r="E6">
            <v>80.752787834394013</v>
          </cell>
          <cell r="F6">
            <v>5.8336070836994196</v>
          </cell>
          <cell r="G6">
            <v>5.3771343571829417</v>
          </cell>
          <cell r="H6">
            <v>-12.50663132418514</v>
          </cell>
          <cell r="I6">
            <v>41.846067135717732</v>
          </cell>
          <cell r="J6">
            <v>-13.27025712343235</v>
          </cell>
          <cell r="K6">
            <v>44.211922521482691</v>
          </cell>
        </row>
        <row r="7">
          <cell r="A7" t="str">
            <v>Target_Effluent_TN (mg/L)</v>
          </cell>
          <cell r="B7">
            <v>11.3661417872302</v>
          </cell>
          <cell r="C7">
            <v>1.9646435563816971</v>
          </cell>
          <cell r="D7">
            <v>3.360677833758869</v>
          </cell>
          <cell r="E7">
            <v>0.28281577221458509</v>
          </cell>
          <cell r="F7">
            <v>2.5421240196741879</v>
          </cell>
          <cell r="G7">
            <v>0.156646185987457</v>
          </cell>
          <cell r="H7">
            <v>0.95347420765011004</v>
          </cell>
          <cell r="I7">
            <v>8.6297899406458049E-3</v>
          </cell>
          <cell r="J7">
            <v>0.95084377416036359</v>
          </cell>
          <cell r="K7">
            <v>9.1176932588448861E-3</v>
          </cell>
        </row>
        <row r="8">
          <cell r="A8" t="str">
            <v>Target_Effluent_TP (mg/L)</v>
          </cell>
          <cell r="B8">
            <v>6.4322699295393333</v>
          </cell>
          <cell r="C8">
            <v>1.286609710078048</v>
          </cell>
          <cell r="D8">
            <v>2.525171676058616</v>
          </cell>
          <cell r="E8">
            <v>0.2489487586067459</v>
          </cell>
          <cell r="F8">
            <v>1.9271486709922041</v>
          </cell>
          <cell r="G8">
            <v>0.1356909379136961</v>
          </cell>
          <cell r="H8">
            <v>0.88314861233639286</v>
          </cell>
          <cell r="I8">
            <v>2.2870881408016821E-2</v>
          </cell>
          <cell r="J8">
            <v>0.8765421734578851</v>
          </cell>
          <cell r="K8">
            <v>2.416393477384108E-2</v>
          </cell>
        </row>
        <row r="9">
          <cell r="A9" t="str">
            <v>Target_Effluent_TSS (mg/L)</v>
          </cell>
          <cell r="B9">
            <v>1357184385.4885311</v>
          </cell>
          <cell r="C9">
            <v>4291124197.401494</v>
          </cell>
          <cell r="D9">
            <v>12060.91877448702</v>
          </cell>
          <cell r="E9">
            <v>36692.697181436793</v>
          </cell>
          <cell r="F9">
            <v>928.48283133721236</v>
          </cell>
          <cell r="G9">
            <v>2137.0469547159282</v>
          </cell>
          <cell r="H9">
            <v>-12428.32239792263</v>
          </cell>
          <cell r="I9">
            <v>39299.145833262352</v>
          </cell>
          <cell r="J9">
            <v>-13131.04027201013</v>
          </cell>
          <cell r="K9">
            <v>41521.005668358463</v>
          </cell>
        </row>
        <row r="10">
          <cell r="A10" t="str">
            <v>Target_Effluent_VSS (mg/L)</v>
          </cell>
          <cell r="B10">
            <v>880098408.45361352</v>
          </cell>
          <cell r="C10">
            <v>2782661600.7481952</v>
          </cell>
          <cell r="D10">
            <v>9720.0017683746592</v>
          </cell>
          <cell r="E10">
            <v>29545.068663097041</v>
          </cell>
          <cell r="F10">
            <v>752.66859151850667</v>
          </cell>
          <cell r="G10">
            <v>1720.9307097478891</v>
          </cell>
          <cell r="H10">
            <v>-12152.86460103981</v>
          </cell>
          <cell r="I10">
            <v>38428.068809970879</v>
          </cell>
          <cell r="J10">
            <v>-12840.00888943782</v>
          </cell>
          <cell r="K10">
            <v>40600.680474138833</v>
          </cell>
        </row>
        <row r="11">
          <cell r="A11" t="str">
            <v>Target_Effluent_X_AUT (mg/L)</v>
          </cell>
          <cell r="B11">
            <v>211861787.93543339</v>
          </cell>
          <cell r="C11">
            <v>669965646.43330872</v>
          </cell>
          <cell r="D11">
            <v>4609.059033885499</v>
          </cell>
          <cell r="E11">
            <v>14553.28763000885</v>
          </cell>
          <cell r="F11">
            <v>269.09964252821982</v>
          </cell>
          <cell r="G11">
            <v>840.4996469287089</v>
          </cell>
          <cell r="H11">
            <v>-9814641.8111737333</v>
          </cell>
          <cell r="I11">
            <v>31036619.25731213</v>
          </cell>
          <cell r="J11">
            <v>-10369533.277529851</v>
          </cell>
          <cell r="K11">
            <v>32791339.78069374</v>
          </cell>
        </row>
        <row r="12">
          <cell r="A12" t="str">
            <v>Target_Effluent_X_H (mg/L)</v>
          </cell>
          <cell r="B12">
            <v>246420533652.4025</v>
          </cell>
          <cell r="C12">
            <v>779250119728.83777</v>
          </cell>
          <cell r="D12">
            <v>157062.8999388665</v>
          </cell>
          <cell r="E12">
            <v>496377.74495191802</v>
          </cell>
          <cell r="F12">
            <v>9112.5190763370574</v>
          </cell>
          <cell r="G12">
            <v>28673.31966172365</v>
          </cell>
          <cell r="H12">
            <v>-55034655.33733765</v>
          </cell>
          <cell r="I12">
            <v>174034857.72385821</v>
          </cell>
          <cell r="J12">
            <v>-58146155.342275463</v>
          </cell>
          <cell r="K12">
            <v>183874284.3089526</v>
          </cell>
        </row>
        <row r="13">
          <cell r="A13" t="str">
            <v>Target_Effluent_X_PAO (mg/L)</v>
          </cell>
          <cell r="B13">
            <v>20587020506693.93</v>
          </cell>
          <cell r="C13">
            <v>65101875037703.297</v>
          </cell>
          <cell r="D13">
            <v>1434821.089464142</v>
          </cell>
          <cell r="E13">
            <v>4537291.0356441224</v>
          </cell>
          <cell r="F13">
            <v>82842.062870138994</v>
          </cell>
          <cell r="G13">
            <v>261963.5080493681</v>
          </cell>
          <cell r="H13">
            <v>-1712509508463.447</v>
          </cell>
          <cell r="I13">
            <v>5415430561437.3359</v>
          </cell>
          <cell r="J13">
            <v>-1809329834030.342</v>
          </cell>
          <cell r="K13">
            <v>5721603314027.4336</v>
          </cell>
        </row>
        <row r="14">
          <cell r="A14" t="str">
            <v>Target_Wastage_BOD (mg/L)</v>
          </cell>
          <cell r="B14">
            <v>198007653.90905499</v>
          </cell>
          <cell r="C14">
            <v>625934148.02056777</v>
          </cell>
          <cell r="D14">
            <v>4686.1903896227022</v>
          </cell>
          <cell r="E14">
            <v>13985.995914217699</v>
          </cell>
          <cell r="F14">
            <v>431.81477103010201</v>
          </cell>
          <cell r="G14">
            <v>842.02466826332488</v>
          </cell>
          <cell r="H14">
            <v>-580.37098106945132</v>
          </cell>
          <cell r="I14">
            <v>1837.7579852771089</v>
          </cell>
          <cell r="J14">
            <v>-613.24001180129312</v>
          </cell>
          <cell r="K14">
            <v>1941.6594968122099</v>
          </cell>
        </row>
        <row r="15">
          <cell r="A15" t="str">
            <v>Target_Wastage_COD (mg/L)</v>
          </cell>
          <cell r="B15">
            <v>6717944.782442525</v>
          </cell>
          <cell r="C15">
            <v>8916762.263276374</v>
          </cell>
          <cell r="D15">
            <v>2339.2983236951932</v>
          </cell>
          <cell r="E15">
            <v>1176.4485799781701</v>
          </cell>
          <cell r="F15">
            <v>1433.563271564308</v>
          </cell>
          <cell r="G15">
            <v>157.25533089010321</v>
          </cell>
          <cell r="H15">
            <v>0.5045194023261883</v>
          </cell>
          <cell r="I15">
            <v>0.67768456468124272</v>
          </cell>
          <cell r="J15">
            <v>0.47650636500187388</v>
          </cell>
          <cell r="K15">
            <v>0.71599888635933417</v>
          </cell>
        </row>
        <row r="16">
          <cell r="A16" t="str">
            <v>Target_Wastage_TKN (mg/L)</v>
          </cell>
          <cell r="B16">
            <v>8083.1926551228526</v>
          </cell>
          <cell r="C16">
            <v>15557.25374144078</v>
          </cell>
          <cell r="D16">
            <v>73.336166051163062</v>
          </cell>
          <cell r="E16">
            <v>54.822941305413089</v>
          </cell>
          <cell r="F16">
            <v>40.697057568719487</v>
          </cell>
          <cell r="G16">
            <v>6.4394189085016214</v>
          </cell>
          <cell r="H16">
            <v>0.40142279468766617</v>
          </cell>
          <cell r="I16">
            <v>1.149166287866952</v>
          </cell>
          <cell r="J16">
            <v>0.36758097389262262</v>
          </cell>
          <cell r="K16">
            <v>1.214136820043175</v>
          </cell>
        </row>
        <row r="17">
          <cell r="A17" t="str">
            <v>Target_Wastage_TN (mg/L)</v>
          </cell>
          <cell r="B17">
            <v>4239.4765232688806</v>
          </cell>
          <cell r="C17">
            <v>5589.7385435701653</v>
          </cell>
          <cell r="D17">
            <v>58.817742689780147</v>
          </cell>
          <cell r="E17">
            <v>29.438253045762199</v>
          </cell>
          <cell r="F17">
            <v>36.387961249209312</v>
          </cell>
          <cell r="G17">
            <v>4.1513889759164977</v>
          </cell>
          <cell r="H17">
            <v>0.65136185263672097</v>
          </cell>
          <cell r="I17">
            <v>0.47131101101185591</v>
          </cell>
          <cell r="J17">
            <v>0.63165086197307274</v>
          </cell>
          <cell r="K17">
            <v>0.49795756993832119</v>
          </cell>
        </row>
        <row r="18">
          <cell r="A18" t="str">
            <v>Target_Wastage_TP (mg/L)</v>
          </cell>
          <cell r="B18">
            <v>2284.8442617515711</v>
          </cell>
          <cell r="C18">
            <v>3293.796699498932</v>
          </cell>
          <cell r="D18">
            <v>42.430691661070831</v>
          </cell>
          <cell r="E18">
            <v>23.201548485552639</v>
          </cell>
          <cell r="F18">
            <v>25.34516979361317</v>
          </cell>
          <cell r="G18">
            <v>3.3274966328401239</v>
          </cell>
          <cell r="H18">
            <v>0.78446519440087492</v>
          </cell>
          <cell r="I18">
            <v>0.24110961981474299</v>
          </cell>
          <cell r="J18">
            <v>0.77227948101011168</v>
          </cell>
          <cell r="K18">
            <v>0.25474125909755541</v>
          </cell>
        </row>
        <row r="19">
          <cell r="A19" t="str">
            <v>Target_Wastage_TSS (mg/L)</v>
          </cell>
          <cell r="B19">
            <v>4750527.5764968777</v>
          </cell>
          <cell r="C19">
            <v>6647517.4874242907</v>
          </cell>
          <cell r="D19">
            <v>1947.659401022504</v>
          </cell>
          <cell r="E19">
            <v>1031.2615974327221</v>
          </cell>
          <cell r="F19">
            <v>1180.548676633189</v>
          </cell>
          <cell r="G19">
            <v>137.98988292783571</v>
          </cell>
          <cell r="H19">
            <v>0.48120677587478078</v>
          </cell>
          <cell r="I19">
            <v>0.74552608120180119</v>
          </cell>
          <cell r="J19">
            <v>0.45187571019985667</v>
          </cell>
          <cell r="K19">
            <v>0.78767596565137288</v>
          </cell>
        </row>
        <row r="20">
          <cell r="A20" t="str">
            <v>Target_Wastage_VSS (mg/L)</v>
          </cell>
          <cell r="B20">
            <v>3180932.2975031561</v>
          </cell>
          <cell r="C20">
            <v>4328587.1208941014</v>
          </cell>
          <cell r="D20">
            <v>1602.360791845419</v>
          </cell>
          <cell r="E20">
            <v>825.54506590742028</v>
          </cell>
          <cell r="F20">
            <v>976.48705045055158</v>
          </cell>
          <cell r="G20">
            <v>109.4315876200112</v>
          </cell>
          <cell r="H20">
            <v>0.48829098257189663</v>
          </cell>
          <cell r="I20">
            <v>0.7167640385371743</v>
          </cell>
          <cell r="J20">
            <v>0.45936043741695082</v>
          </cell>
          <cell r="K20">
            <v>0.75728780043326893</v>
          </cell>
        </row>
        <row r="21">
          <cell r="A21" t="str">
            <v>Target_Wastage_X_AUT (mg/L)</v>
          </cell>
          <cell r="B21">
            <v>380057.99243902188</v>
          </cell>
          <cell r="C21">
            <v>1199122.058399312</v>
          </cell>
          <cell r="D21">
            <v>221.092298732084</v>
          </cell>
          <cell r="E21">
            <v>606.60822784505365</v>
          </cell>
          <cell r="F21">
            <v>30.72175048712575</v>
          </cell>
          <cell r="G21">
            <v>36.171171817879383</v>
          </cell>
          <cell r="H21">
            <v>-83.328068789653727</v>
          </cell>
          <cell r="I21">
            <v>266.02088018194962</v>
          </cell>
          <cell r="J21">
            <v>-88.095733456206602</v>
          </cell>
          <cell r="K21">
            <v>281.06092994488671</v>
          </cell>
        </row>
        <row r="22">
          <cell r="A22" t="str">
            <v>Target_Wastage_X_H (mg/L)</v>
          </cell>
          <cell r="B22">
            <v>441246407.60444939</v>
          </cell>
          <cell r="C22">
            <v>1394770537.3290319</v>
          </cell>
          <cell r="D22">
            <v>7023.1055208295338</v>
          </cell>
          <cell r="E22">
            <v>20867.901892293368</v>
          </cell>
          <cell r="F22">
            <v>662.00375896874652</v>
          </cell>
          <cell r="G22">
            <v>1261.1023347809339</v>
          </cell>
          <cell r="H22">
            <v>-504.61505581887172</v>
          </cell>
          <cell r="I22">
            <v>1598.179225897833</v>
          </cell>
          <cell r="J22">
            <v>-533.20106604184673</v>
          </cell>
          <cell r="K22">
            <v>1688.535648563435</v>
          </cell>
        </row>
        <row r="23">
          <cell r="A23" t="str">
            <v>Target_Wastage_X_PAO (mg/L)</v>
          </cell>
          <cell r="B23">
            <v>36876347160.089417</v>
          </cell>
          <cell r="C23">
            <v>116613247992.0787</v>
          </cell>
          <cell r="D23">
            <v>60740.317038444438</v>
          </cell>
          <cell r="E23">
            <v>192027.08445008099</v>
          </cell>
          <cell r="F23">
            <v>3518.720377546937</v>
          </cell>
          <cell r="G23">
            <v>11092.838484835491</v>
          </cell>
          <cell r="H23">
            <v>-15672683.871189451</v>
          </cell>
          <cell r="I23">
            <v>49561380.439166948</v>
          </cell>
          <cell r="J23">
            <v>-16558772.06178673</v>
          </cell>
          <cell r="K23">
            <v>52363437.283784151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96.292111683290955</v>
          </cell>
          <cell r="C4">
            <v>16.74180708398924</v>
          </cell>
          <cell r="D4">
            <v>9.7806572355310593</v>
          </cell>
          <cell r="E4">
            <v>0.83722804828054187</v>
          </cell>
          <cell r="F4">
            <v>6.6499014122062352</v>
          </cell>
          <cell r="G4">
            <v>0.59425096794705334</v>
          </cell>
          <cell r="H4">
            <v>0.9442625872798317</v>
          </cell>
          <cell r="I4">
            <v>8.6171308305325999E-3</v>
          </cell>
          <cell r="J4">
            <v>0.94111135546526392</v>
          </cell>
          <cell r="K4">
            <v>9.1043184393259161E-3</v>
          </cell>
        </row>
        <row r="5">
          <cell r="A5" t="str">
            <v>Target_Effluent_COD (mg/L)</v>
          </cell>
          <cell r="B5">
            <v>15669.522349233521</v>
          </cell>
          <cell r="C5">
            <v>2561.6191162982868</v>
          </cell>
          <cell r="D5">
            <v>124.8032746474528</v>
          </cell>
          <cell r="E5">
            <v>10.20157866356363</v>
          </cell>
          <cell r="F5">
            <v>79.560318532479542</v>
          </cell>
          <cell r="G5">
            <v>6.3602419459833488</v>
          </cell>
          <cell r="H5">
            <v>0.9075003004630291</v>
          </cell>
          <cell r="I5">
            <v>1.6866116333065239E-2</v>
          </cell>
          <cell r="J5">
            <v>0.90227063547153963</v>
          </cell>
          <cell r="K5">
            <v>1.7819677680517669E-2</v>
          </cell>
        </row>
        <row r="6">
          <cell r="A6" t="str">
            <v>Target_Effluent_TKN (mg/L)</v>
          </cell>
          <cell r="B6">
            <v>57.966436511970677</v>
          </cell>
          <cell r="C6">
            <v>23.533058476085589</v>
          </cell>
          <cell r="D6">
            <v>7.505490116718053</v>
          </cell>
          <cell r="E6">
            <v>1.347448048810254</v>
          </cell>
          <cell r="F6">
            <v>4.3247902630614927</v>
          </cell>
          <cell r="G6">
            <v>0.42490596121459973</v>
          </cell>
          <cell r="H6">
            <v>0.81866560237707553</v>
          </cell>
          <cell r="I6">
            <v>3.8589105533484699E-2</v>
          </cell>
          <cell r="J6">
            <v>0.80841348095669807</v>
          </cell>
          <cell r="K6">
            <v>4.0770821747391973E-2</v>
          </cell>
        </row>
        <row r="7">
          <cell r="A7" t="str">
            <v>Target_Effluent_TN (mg/L)</v>
          </cell>
          <cell r="B7">
            <v>115.0848270017887</v>
          </cell>
          <cell r="C7">
            <v>17.839185038259071</v>
          </cell>
          <cell r="D7">
            <v>10.696830940834371</v>
          </cell>
          <cell r="E7">
            <v>0.85805647638349081</v>
          </cell>
          <cell r="F7">
            <v>6.8835066827229916</v>
          </cell>
          <cell r="G7">
            <v>0.4182585336737934</v>
          </cell>
          <cell r="H7">
            <v>0.53347353955443821</v>
          </cell>
          <cell r="I7">
            <v>5.1281810933717503E-2</v>
          </cell>
          <cell r="J7">
            <v>0.50709748525362908</v>
          </cell>
          <cell r="K7">
            <v>5.4181135933503648E-2</v>
          </cell>
        </row>
        <row r="8">
          <cell r="A8" t="str">
            <v>Target_Effluent_TP (mg/L)</v>
          </cell>
          <cell r="B8">
            <v>6.577717886115904</v>
          </cell>
          <cell r="C8">
            <v>1.7887279481210121</v>
          </cell>
          <cell r="D8">
            <v>2.546144575236799</v>
          </cell>
          <cell r="E8">
            <v>0.32466339510350778</v>
          </cell>
          <cell r="F8">
            <v>1.647053855002977</v>
          </cell>
          <cell r="G8">
            <v>0.16006617425431091</v>
          </cell>
          <cell r="H8">
            <v>0.88114280903298126</v>
          </cell>
          <cell r="I8">
            <v>2.6841612286050639E-2</v>
          </cell>
          <cell r="J8">
            <v>0.87442296784756679</v>
          </cell>
          <cell r="K8">
            <v>2.8359159270421031E-2</v>
          </cell>
        </row>
        <row r="9">
          <cell r="A9" t="str">
            <v>Target_Effluent_TSS (mg/L)</v>
          </cell>
          <cell r="B9">
            <v>12763.19921954691</v>
          </cell>
          <cell r="C9">
            <v>2475.0855904489481</v>
          </cell>
          <cell r="D9">
            <v>112.494963979609</v>
          </cell>
          <cell r="E9">
            <v>10.958624141813271</v>
          </cell>
          <cell r="F9">
            <v>67.725555578585841</v>
          </cell>
          <cell r="G9">
            <v>6.3893874936080977</v>
          </cell>
          <cell r="H9">
            <v>0.88755704781612155</v>
          </cell>
          <cell r="I9">
            <v>2.3891975126622441E-2</v>
          </cell>
          <cell r="J9">
            <v>0.88119984910607896</v>
          </cell>
          <cell r="K9">
            <v>2.5242758172650561E-2</v>
          </cell>
        </row>
        <row r="10">
          <cell r="A10" t="str">
            <v>Target_Effluent_VSS (mg/L)</v>
          </cell>
          <cell r="B10">
            <v>8678.3629620412357</v>
          </cell>
          <cell r="C10">
            <v>1664.144177701713</v>
          </cell>
          <cell r="D10">
            <v>92.770918325201833</v>
          </cell>
          <cell r="E10">
            <v>8.939281299719628</v>
          </cell>
          <cell r="F10">
            <v>55.849990211167153</v>
          </cell>
          <cell r="G10">
            <v>5.1807835697522604</v>
          </cell>
          <cell r="H10">
            <v>0.88696328023724713</v>
          </cell>
          <cell r="I10">
            <v>2.4367872223771909E-2</v>
          </cell>
          <cell r="J10">
            <v>0.88057251162875227</v>
          </cell>
          <cell r="K10">
            <v>2.5745561112748429E-2</v>
          </cell>
        </row>
        <row r="11">
          <cell r="A11" t="str">
            <v>Target_Effluent_X_AUT (mg/L)</v>
          </cell>
          <cell r="B11">
            <v>1.3646772553213671</v>
          </cell>
          <cell r="C11">
            <v>0.21931708824633481</v>
          </cell>
          <cell r="D11">
            <v>1.164888082230342</v>
          </cell>
          <cell r="E11">
            <v>9.2574361696021526E-2</v>
          </cell>
          <cell r="F11">
            <v>0.78013031872937466</v>
          </cell>
          <cell r="G11">
            <v>5.9902227050606972E-2</v>
          </cell>
          <cell r="H11">
            <v>0.94143161059901748</v>
          </cell>
          <cell r="I11">
            <v>9.1841584572542323E-3</v>
          </cell>
          <cell r="J11">
            <v>0.93812032356574648</v>
          </cell>
          <cell r="K11">
            <v>9.7034041650848873E-3</v>
          </cell>
        </row>
        <row r="12">
          <cell r="A12" t="str">
            <v>Target_Effluent_X_H (mg/L)</v>
          </cell>
          <cell r="B12">
            <v>258.51313671067481</v>
          </cell>
          <cell r="C12">
            <v>45.899713297022338</v>
          </cell>
          <cell r="D12">
            <v>16.02341467115253</v>
          </cell>
          <cell r="E12">
            <v>1.399729730645902</v>
          </cell>
          <cell r="F12">
            <v>10.551398199545581</v>
          </cell>
          <cell r="G12">
            <v>0.96786568990278254</v>
          </cell>
          <cell r="H12">
            <v>0.94079319737416667</v>
          </cell>
          <cell r="I12">
            <v>8.8923793789623118E-3</v>
          </cell>
          <cell r="J12">
            <v>0.93744581630698176</v>
          </cell>
          <cell r="K12">
            <v>9.3951287431438841E-3</v>
          </cell>
        </row>
        <row r="13">
          <cell r="A13" t="str">
            <v>Target_Effluent_X_PAO (mg/L)</v>
          </cell>
          <cell r="B13">
            <v>1.1554902521036861</v>
          </cell>
          <cell r="C13">
            <v>1.5161120276245961</v>
          </cell>
          <cell r="D13">
            <v>0.97294351570505522</v>
          </cell>
          <cell r="E13">
            <v>0.48174586125325108</v>
          </cell>
          <cell r="F13">
            <v>0.56664417124584987</v>
          </cell>
          <cell r="G13">
            <v>8.9970599541472976E-2</v>
          </cell>
          <cell r="H13">
            <v>0.87339669182302337</v>
          </cell>
          <cell r="I13">
            <v>0.11585893005948771</v>
          </cell>
          <cell r="J13">
            <v>0.86623890761513778</v>
          </cell>
          <cell r="K13">
            <v>0.1224092582607308</v>
          </cell>
        </row>
        <row r="14">
          <cell r="A14" t="str">
            <v>Target_Wastage_BOD (mg/L)</v>
          </cell>
          <cell r="B14">
            <v>10313.081932121981</v>
          </cell>
          <cell r="C14">
            <v>1185.495351785313</v>
          </cell>
          <cell r="D14">
            <v>101.4055387596115</v>
          </cell>
          <cell r="E14">
            <v>5.7733719200893008</v>
          </cell>
          <cell r="F14">
            <v>70.835611608123457</v>
          </cell>
          <cell r="G14">
            <v>3.5834584388195658</v>
          </cell>
          <cell r="H14">
            <v>0.967565364586218</v>
          </cell>
          <cell r="I14">
            <v>3.8572268064955072E-3</v>
          </cell>
          <cell r="J14">
            <v>0.96573160428013838</v>
          </cell>
          <cell r="K14">
            <v>4.0753032337178807E-3</v>
          </cell>
        </row>
        <row r="15">
          <cell r="A15" t="str">
            <v>Target_Wastage_COD (mg/L)</v>
          </cell>
          <cell r="B15">
            <v>623261.37461961387</v>
          </cell>
          <cell r="C15">
            <v>111439.3831873156</v>
          </cell>
          <cell r="D15">
            <v>786.62602659370793</v>
          </cell>
          <cell r="E15">
            <v>70.560209947162534</v>
          </cell>
          <cell r="F15">
            <v>483.41286888698562</v>
          </cell>
          <cell r="G15">
            <v>29.1879678863572</v>
          </cell>
          <cell r="H15">
            <v>0.95502097666059405</v>
          </cell>
          <cell r="I15">
            <v>7.8641610148725734E-3</v>
          </cell>
          <cell r="J15">
            <v>0.95247799300889613</v>
          </cell>
          <cell r="K15">
            <v>8.3087778920384846E-3</v>
          </cell>
        </row>
        <row r="16">
          <cell r="A16" t="str">
            <v>Target_Wastage_TKN (mg/L)</v>
          </cell>
          <cell r="B16">
            <v>519.14876039958449</v>
          </cell>
          <cell r="C16">
            <v>75.823628265720615</v>
          </cell>
          <cell r="D16">
            <v>22.730184846755339</v>
          </cell>
          <cell r="E16">
            <v>1.6624804867421989</v>
          </cell>
          <cell r="F16">
            <v>15.234224596041861</v>
          </cell>
          <cell r="G16">
            <v>0.79296675990821874</v>
          </cell>
          <cell r="H16">
            <v>0.96149411154807518</v>
          </cell>
          <cell r="I16">
            <v>5.9103171271094844E-3</v>
          </cell>
          <cell r="J16">
            <v>0.95931710018683558</v>
          </cell>
          <cell r="K16">
            <v>6.2444693321757616E-3</v>
          </cell>
        </row>
        <row r="17">
          <cell r="A17" t="str">
            <v>Target_Wastage_TN (mg/L)</v>
          </cell>
          <cell r="B17">
            <v>565.8666403609684</v>
          </cell>
          <cell r="C17">
            <v>80.508927118981362</v>
          </cell>
          <cell r="D17">
            <v>23.733174403216999</v>
          </cell>
          <cell r="E17">
            <v>1.7006773511534261</v>
          </cell>
          <cell r="F17">
            <v>16.429188355484239</v>
          </cell>
          <cell r="G17">
            <v>0.89361855950427849</v>
          </cell>
          <cell r="H17">
            <v>0.95408808664809419</v>
          </cell>
          <cell r="I17">
            <v>7.4928942425748091E-3</v>
          </cell>
          <cell r="J17">
            <v>0.95149236009816318</v>
          </cell>
          <cell r="K17">
            <v>7.9165207721902994E-3</v>
          </cell>
        </row>
        <row r="18">
          <cell r="A18" t="str">
            <v>Target_Wastage_TP (mg/L)</v>
          </cell>
          <cell r="B18">
            <v>692.26368499581008</v>
          </cell>
          <cell r="C18">
            <v>299.63082800772321</v>
          </cell>
          <cell r="D18">
            <v>25.741171812739641</v>
          </cell>
          <cell r="E18">
            <v>5.7402824846119094</v>
          </cell>
          <cell r="F18">
            <v>11.58074165558625</v>
          </cell>
          <cell r="G18">
            <v>1.110519272068708</v>
          </cell>
          <cell r="H18">
            <v>0.92686568424654214</v>
          </cell>
          <cell r="I18">
            <v>3.5040973101936837E-2</v>
          </cell>
          <cell r="J18">
            <v>0.92273088194245978</v>
          </cell>
          <cell r="K18">
            <v>3.702208818897211E-2</v>
          </cell>
        </row>
        <row r="19">
          <cell r="A19" t="str">
            <v>Target_Wastage_TSS (mg/L)</v>
          </cell>
          <cell r="B19">
            <v>400895.50934100518</v>
          </cell>
          <cell r="C19">
            <v>72556.783167945352</v>
          </cell>
          <cell r="D19">
            <v>630.82077819453366</v>
          </cell>
          <cell r="E19">
            <v>57.355181293103072</v>
          </cell>
          <cell r="F19">
            <v>389.99014616596122</v>
          </cell>
          <cell r="G19">
            <v>22.907689716304571</v>
          </cell>
          <cell r="H19">
            <v>0.95714172542955311</v>
          </cell>
          <cell r="I19">
            <v>7.5769073860363044E-3</v>
          </cell>
          <cell r="J19">
            <v>0.9547186427683263</v>
          </cell>
          <cell r="K19">
            <v>8.0052837753528065E-3</v>
          </cell>
        </row>
        <row r="20">
          <cell r="A20" t="str">
            <v>Target_Wastage_VSS (mg/L)</v>
          </cell>
          <cell r="B20">
            <v>276568.33996261342</v>
          </cell>
          <cell r="C20">
            <v>49164.743690968411</v>
          </cell>
          <cell r="D20">
            <v>524.0266234612842</v>
          </cell>
          <cell r="E20">
            <v>46.719468537440747</v>
          </cell>
          <cell r="F20">
            <v>324.11158475435161</v>
          </cell>
          <cell r="G20">
            <v>19.112148509562001</v>
          </cell>
          <cell r="H20">
            <v>0.95646014375423571</v>
          </cell>
          <cell r="I20">
            <v>7.6396415745161551E-3</v>
          </cell>
          <cell r="J20">
            <v>0.95399852643998762</v>
          </cell>
          <cell r="K20">
            <v>8.0715647730754039E-3</v>
          </cell>
        </row>
        <row r="21">
          <cell r="A21" t="str">
            <v>Target_Wastage_X_AUT (mg/L)</v>
          </cell>
          <cell r="B21">
            <v>157.32842719809119</v>
          </cell>
          <cell r="C21">
            <v>36.302677614472728</v>
          </cell>
          <cell r="D21">
            <v>12.476392048684859</v>
          </cell>
          <cell r="E21">
            <v>1.3613998700701371</v>
          </cell>
          <cell r="F21">
            <v>8.5131907170828782</v>
          </cell>
          <cell r="G21">
            <v>0.74162868850857355</v>
          </cell>
          <cell r="H21">
            <v>0.96299172214740059</v>
          </cell>
          <cell r="I21">
            <v>6.6247850369332206E-3</v>
          </cell>
          <cell r="J21">
            <v>0.96089938135008046</v>
          </cell>
          <cell r="K21">
            <v>6.9993311874312321E-3</v>
          </cell>
        </row>
        <row r="22">
          <cell r="A22" t="str">
            <v>Target_Wastage_X_H (mg/L)</v>
          </cell>
          <cell r="B22">
            <v>26953.46883541673</v>
          </cell>
          <cell r="C22">
            <v>3618.086068718455</v>
          </cell>
          <cell r="D22">
            <v>163.85287883936709</v>
          </cell>
          <cell r="E22">
            <v>10.83732908199997</v>
          </cell>
          <cell r="F22">
            <v>113.3507431942551</v>
          </cell>
          <cell r="G22">
            <v>6.6532113593033237</v>
          </cell>
          <cell r="H22">
            <v>0.96657069796563722</v>
          </cell>
          <cell r="I22">
            <v>4.1331125014292961E-3</v>
          </cell>
          <cell r="J22">
            <v>0.96468070209090284</v>
          </cell>
          <cell r="K22">
            <v>4.3667867064570726E-3</v>
          </cell>
        </row>
        <row r="23">
          <cell r="A23" t="str">
            <v>Target_Wastage_X_PAO (mg/L)</v>
          </cell>
          <cell r="B23">
            <v>200.01649926586541</v>
          </cell>
          <cell r="C23">
            <v>359.01587666053467</v>
          </cell>
          <cell r="D23">
            <v>11.783056661141771</v>
          </cell>
          <cell r="E23">
            <v>8.2445992414016107</v>
          </cell>
          <cell r="F23">
            <v>6.4109095174490784</v>
          </cell>
          <cell r="G23">
            <v>0.9057595483704145</v>
          </cell>
          <cell r="H23">
            <v>0.8716550658817781</v>
          </cell>
          <cell r="I23">
            <v>0.13872462707872429</v>
          </cell>
          <cell r="J23">
            <v>0.86439881518958173</v>
          </cell>
          <cell r="K23">
            <v>0.14656771553547199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18.629310529705581</v>
          </cell>
          <cell r="C4">
            <v>3.8722548996127601</v>
          </cell>
          <cell r="D4">
            <v>4.29369560992623</v>
          </cell>
          <cell r="E4">
            <v>0.46366719267379569</v>
          </cell>
          <cell r="F4">
            <v>2.7908559829600592</v>
          </cell>
          <cell r="G4">
            <v>0.26802337096475681</v>
          </cell>
          <cell r="H4">
            <v>0.98923783600879533</v>
          </cell>
          <cell r="I4">
            <v>2.0465909493992841E-3</v>
          </cell>
          <cell r="J4">
            <v>0.98862937444038812</v>
          </cell>
          <cell r="K4">
            <v>2.1622992716268121E-3</v>
          </cell>
        </row>
        <row r="5">
          <cell r="A5" t="str">
            <v>Target_Effluent_COD (mg/L)</v>
          </cell>
          <cell r="B5">
            <v>2437.207627321327</v>
          </cell>
          <cell r="C5">
            <v>816.47487436391498</v>
          </cell>
          <cell r="D5">
            <v>48.754839744619133</v>
          </cell>
          <cell r="E5">
            <v>8.1767440407966649</v>
          </cell>
          <cell r="F5">
            <v>25.20163691594821</v>
          </cell>
          <cell r="G5">
            <v>2.6895679024089501</v>
          </cell>
          <cell r="H5">
            <v>0.98560786825790403</v>
          </cell>
          <cell r="I5">
            <v>4.9257600267277471E-3</v>
          </cell>
          <cell r="J5">
            <v>0.98479417883078901</v>
          </cell>
          <cell r="K5">
            <v>5.2042482261187356E-3</v>
          </cell>
        </row>
        <row r="6">
          <cell r="A6" t="str">
            <v>Target_Effluent_TKN (mg/L)</v>
          </cell>
          <cell r="B6">
            <v>13.79599369642126</v>
          </cell>
          <cell r="C6">
            <v>7.0803957287094956</v>
          </cell>
          <cell r="D6">
            <v>3.608597748185506</v>
          </cell>
          <cell r="E6">
            <v>0.92737142757350999</v>
          </cell>
          <cell r="F6">
            <v>2.0096025820501899</v>
          </cell>
          <cell r="G6">
            <v>0.20713534693902211</v>
          </cell>
          <cell r="H6">
            <v>0.95796143743250861</v>
          </cell>
          <cell r="I6">
            <v>1.484757097393241E-2</v>
          </cell>
          <cell r="J6">
            <v>0.95558469891279185</v>
          </cell>
          <cell r="K6">
            <v>1.5687009615568102E-2</v>
          </cell>
        </row>
        <row r="7">
          <cell r="A7" t="str">
            <v>Target_Effluent_TN (mg/L)</v>
          </cell>
          <cell r="B7">
            <v>17.974982917709742</v>
          </cell>
          <cell r="C7">
            <v>2.8525887317672591</v>
          </cell>
          <cell r="D7">
            <v>4.2279277501733086</v>
          </cell>
          <cell r="E7">
            <v>0.33268245958538317</v>
          </cell>
          <cell r="F7">
            <v>2.7628622863488599</v>
          </cell>
          <cell r="G7">
            <v>0.1636749882026412</v>
          </cell>
          <cell r="H7">
            <v>0.92649460256735294</v>
          </cell>
          <cell r="I7">
            <v>1.252607591424851E-2</v>
          </cell>
          <cell r="J7">
            <v>0.92233882038034809</v>
          </cell>
          <cell r="K7">
            <v>1.323426395180316E-2</v>
          </cell>
        </row>
        <row r="8">
          <cell r="A8" t="str">
            <v>Target_Effluent_TP (mg/L)</v>
          </cell>
          <cell r="B8">
            <v>1.220416963291002</v>
          </cell>
          <cell r="C8">
            <v>0.7953492560256582</v>
          </cell>
          <cell r="D8">
            <v>1.065503981386581</v>
          </cell>
          <cell r="E8">
            <v>0.30753180312565731</v>
          </cell>
          <cell r="F8">
            <v>0.51881501392668117</v>
          </cell>
          <cell r="G8">
            <v>6.4681949737714739E-2</v>
          </cell>
          <cell r="H8">
            <v>0.97820954772608637</v>
          </cell>
          <cell r="I8">
            <v>1.254663668628762E-2</v>
          </cell>
          <cell r="J8">
            <v>0.97697757869293222</v>
          </cell>
          <cell r="K8">
            <v>1.3255987170318E-2</v>
          </cell>
        </row>
        <row r="9">
          <cell r="A9" t="str">
            <v>Target_Effluent_TSS (mg/L)</v>
          </cell>
          <cell r="B9">
            <v>3329.4969688395258</v>
          </cell>
          <cell r="C9">
            <v>818.93309451027994</v>
          </cell>
          <cell r="D9">
            <v>57.288042075086857</v>
          </cell>
          <cell r="E9">
            <v>7.270733116222674</v>
          </cell>
          <cell r="F9">
            <v>28.25471617927742</v>
          </cell>
          <cell r="G9">
            <v>2.4752648160854052</v>
          </cell>
          <cell r="H9">
            <v>0.97071855502811533</v>
          </cell>
          <cell r="I9">
            <v>7.3445045482422866E-3</v>
          </cell>
          <cell r="J9">
            <v>0.96906306697316791</v>
          </cell>
          <cell r="K9">
            <v>7.7597415545033466E-3</v>
          </cell>
        </row>
        <row r="10">
          <cell r="A10" t="str">
            <v>Target_Effluent_VSS (mg/L)</v>
          </cell>
          <cell r="B10">
            <v>2087.3149030416739</v>
          </cell>
          <cell r="C10">
            <v>528.8023594381782</v>
          </cell>
          <cell r="D10">
            <v>45.339791952912897</v>
          </cell>
          <cell r="E10">
            <v>5.9271661495794863</v>
          </cell>
          <cell r="F10">
            <v>22.702911568385009</v>
          </cell>
          <cell r="G10">
            <v>2.2376739203191951</v>
          </cell>
          <cell r="H10">
            <v>0.97289178819076572</v>
          </cell>
          <cell r="I10">
            <v>7.0223641629412756E-3</v>
          </cell>
          <cell r="J10">
            <v>0.97135916844183379</v>
          </cell>
          <cell r="K10">
            <v>7.4193882852276686E-3</v>
          </cell>
        </row>
        <row r="11">
          <cell r="A11" t="str">
            <v>Target_Effluent_X_AUT (mg/L)</v>
          </cell>
          <cell r="B11">
            <v>0.37331567639810992</v>
          </cell>
          <cell r="C11">
            <v>6.1974198058081527E-2</v>
          </cell>
          <cell r="D11">
            <v>0.60903391882119795</v>
          </cell>
          <cell r="E11">
            <v>5.1568316321429969E-2</v>
          </cell>
          <cell r="F11">
            <v>0.3784647628643476</v>
          </cell>
          <cell r="G11">
            <v>2.5694495111062639E-2</v>
          </cell>
          <cell r="H11">
            <v>0.98387693846319135</v>
          </cell>
          <cell r="I11">
            <v>3.2807937443213881E-3</v>
          </cell>
          <cell r="J11">
            <v>0.98296538728089833</v>
          </cell>
          <cell r="K11">
            <v>3.4662803164384791E-3</v>
          </cell>
        </row>
        <row r="12">
          <cell r="A12" t="str">
            <v>Target_Effluent_X_H (mg/L)</v>
          </cell>
          <cell r="B12">
            <v>59.755228155228032</v>
          </cell>
          <cell r="C12">
            <v>12.968861074344989</v>
          </cell>
          <cell r="D12">
            <v>7.6894403572887624</v>
          </cell>
          <cell r="E12">
            <v>0.8351547740302262</v>
          </cell>
          <cell r="F12">
            <v>4.7456468268472314</v>
          </cell>
          <cell r="G12">
            <v>0.4275076319314241</v>
          </cell>
          <cell r="H12">
            <v>0.98631356396899894</v>
          </cell>
          <cell r="I12">
            <v>2.6682263257581679E-3</v>
          </cell>
          <cell r="J12">
            <v>0.98553977253261726</v>
          </cell>
          <cell r="K12">
            <v>2.8190801109600279E-3</v>
          </cell>
        </row>
        <row r="13">
          <cell r="A13" t="str">
            <v>Target_Effluent_X_PAO (mg/L)</v>
          </cell>
          <cell r="B13">
            <v>0.59307600918961301</v>
          </cell>
          <cell r="C13">
            <v>1.195381087466046</v>
          </cell>
          <cell r="D13">
            <v>0.61414065704446319</v>
          </cell>
          <cell r="E13">
            <v>0.48979277086744449</v>
          </cell>
          <cell r="F13">
            <v>0.27727031788779799</v>
          </cell>
          <cell r="G13">
            <v>7.2077340931321968E-2</v>
          </cell>
          <cell r="H13">
            <v>0.94110986728026214</v>
          </cell>
          <cell r="I13">
            <v>9.6231634307737166E-2</v>
          </cell>
          <cell r="J13">
            <v>0.93778038981200829</v>
          </cell>
          <cell r="K13">
            <v>0.101672292077786</v>
          </cell>
        </row>
        <row r="14">
          <cell r="A14" t="str">
            <v>Target_Wastage_BOD (mg/L)</v>
          </cell>
          <cell r="B14">
            <v>1411.6463802017479</v>
          </cell>
          <cell r="C14">
            <v>246.58460514613989</v>
          </cell>
          <cell r="D14">
            <v>37.446997680450401</v>
          </cell>
          <cell r="E14">
            <v>3.2264092394022481</v>
          </cell>
          <cell r="F14">
            <v>23.570542464102591</v>
          </cell>
          <cell r="G14">
            <v>1.09328159714762</v>
          </cell>
          <cell r="H14">
            <v>0.99553296907026334</v>
          </cell>
          <cell r="I14">
            <v>1.008529676663217E-3</v>
          </cell>
          <cell r="J14">
            <v>0.99528041608483664</v>
          </cell>
          <cell r="K14">
            <v>1.0655490223402939E-3</v>
          </cell>
        </row>
        <row r="15">
          <cell r="A15" t="str">
            <v>Target_Wastage_COD (mg/L)</v>
          </cell>
          <cell r="B15">
            <v>134198.94496710729</v>
          </cell>
          <cell r="C15">
            <v>53833.39369833286</v>
          </cell>
          <cell r="D15">
            <v>360.3565000918075</v>
          </cell>
          <cell r="E15">
            <v>69.459323097850543</v>
          </cell>
          <cell r="F15">
            <v>192.98065020775999</v>
          </cell>
          <cell r="G15">
            <v>14.609764783114249</v>
          </cell>
          <cell r="H15">
            <v>0.99040349174653508</v>
          </cell>
          <cell r="I15">
            <v>3.48473996873924E-3</v>
          </cell>
          <cell r="J15">
            <v>0.98986093297602129</v>
          </cell>
          <cell r="K15">
            <v>3.6817570694453422E-3</v>
          </cell>
        </row>
        <row r="16">
          <cell r="A16" t="str">
            <v>Target_Wastage_TKN (mg/L)</v>
          </cell>
          <cell r="B16">
            <v>94.043847444749389</v>
          </cell>
          <cell r="C16">
            <v>32.096604066159813</v>
          </cell>
          <cell r="D16">
            <v>9.5729550579978717</v>
          </cell>
          <cell r="E16">
            <v>1.633802280402086</v>
          </cell>
          <cell r="F16">
            <v>5.9396592628018121</v>
          </cell>
          <cell r="G16">
            <v>0.42207588466839369</v>
          </cell>
          <cell r="H16">
            <v>0.99312591486638024</v>
          </cell>
          <cell r="I16">
            <v>1.9565673391872648E-3</v>
          </cell>
          <cell r="J16">
            <v>0.99273727401076906</v>
          </cell>
          <cell r="K16">
            <v>2.0671859873391792E-3</v>
          </cell>
        </row>
        <row r="17">
          <cell r="A17" t="str">
            <v>Target_Wastage_TN (mg/L)</v>
          </cell>
          <cell r="B17">
            <v>97.821683462577198</v>
          </cell>
          <cell r="C17">
            <v>33.3339542289525</v>
          </cell>
          <cell r="D17">
            <v>9.7726033295897405</v>
          </cell>
          <cell r="E17">
            <v>1.6048217710210091</v>
          </cell>
          <cell r="F17">
            <v>6.2775295961559969</v>
          </cell>
          <cell r="G17">
            <v>0.50130564229770425</v>
          </cell>
          <cell r="H17">
            <v>0.9921687657511733</v>
          </cell>
          <cell r="I17">
            <v>2.3185715374457018E-3</v>
          </cell>
          <cell r="J17">
            <v>0.9917260104579535</v>
          </cell>
          <cell r="K17">
            <v>2.4496568540504039E-3</v>
          </cell>
        </row>
        <row r="18">
          <cell r="A18" t="str">
            <v>Target_Wastage_TP (mg/L)</v>
          </cell>
          <cell r="B18">
            <v>380.56247734814281</v>
          </cell>
          <cell r="C18">
            <v>567.82306669432251</v>
          </cell>
          <cell r="D18">
            <v>15.866943154878539</v>
          </cell>
          <cell r="E18">
            <v>11.963026013884789</v>
          </cell>
          <cell r="F18">
            <v>5.120013848593052</v>
          </cell>
          <cell r="G18">
            <v>1.5307913924207179</v>
          </cell>
          <cell r="H18">
            <v>0.95898639276061193</v>
          </cell>
          <cell r="I18">
            <v>6.3678441616922848E-2</v>
          </cell>
          <cell r="J18">
            <v>0.95666760224531067</v>
          </cell>
          <cell r="K18">
            <v>6.7278636195971464E-2</v>
          </cell>
        </row>
        <row r="19">
          <cell r="A19" t="str">
            <v>Target_Wastage_TSS (mg/L)</v>
          </cell>
          <cell r="B19">
            <v>76201.13508892004</v>
          </cell>
          <cell r="C19">
            <v>30884.00443159389</v>
          </cell>
          <cell r="D19">
            <v>271.56947181177298</v>
          </cell>
          <cell r="E19">
            <v>52.187238422973543</v>
          </cell>
          <cell r="F19">
            <v>142.05098442743051</v>
          </cell>
          <cell r="G19">
            <v>12.238378953403171</v>
          </cell>
          <cell r="H19">
            <v>0.99193541370180305</v>
          </cell>
          <cell r="I19">
            <v>2.9254690803228039E-3</v>
          </cell>
          <cell r="J19">
            <v>0.99147946535985554</v>
          </cell>
          <cell r="K19">
            <v>3.0908666255000761E-3</v>
          </cell>
        </row>
        <row r="20">
          <cell r="A20" t="str">
            <v>Target_Wastage_VSS (mg/L)</v>
          </cell>
          <cell r="B20">
            <v>58974.449253671897</v>
          </cell>
          <cell r="C20">
            <v>24286.82487167852</v>
          </cell>
          <cell r="D20">
            <v>239.0353869859089</v>
          </cell>
          <cell r="E20">
            <v>45.172914969637461</v>
          </cell>
          <cell r="F20">
            <v>124.83537508450161</v>
          </cell>
          <cell r="G20">
            <v>9.3356563443399772</v>
          </cell>
          <cell r="H20">
            <v>0.99081096309045513</v>
          </cell>
          <cell r="I20">
            <v>3.376672174826522E-3</v>
          </cell>
          <cell r="J20">
            <v>0.99029144156906757</v>
          </cell>
          <cell r="K20">
            <v>3.567579435594138E-3</v>
          </cell>
        </row>
        <row r="21">
          <cell r="A21" t="str">
            <v>Target_Wastage_X_AUT (mg/L)</v>
          </cell>
          <cell r="B21">
            <v>32.067346042948081</v>
          </cell>
          <cell r="C21">
            <v>9.4620580349950369</v>
          </cell>
          <cell r="D21">
            <v>5.6102142971182509</v>
          </cell>
          <cell r="E21">
            <v>0.81161128035398633</v>
          </cell>
          <cell r="F21">
            <v>3.2637319610537991</v>
          </cell>
          <cell r="G21">
            <v>0.28966731769015852</v>
          </cell>
          <cell r="H21">
            <v>0.99247455121103501</v>
          </cell>
          <cell r="I21">
            <v>1.8528263334764499E-3</v>
          </cell>
          <cell r="J21">
            <v>0.99204908414169424</v>
          </cell>
          <cell r="K21">
            <v>1.957579765757765E-3</v>
          </cell>
        </row>
        <row r="22">
          <cell r="A22" t="str">
            <v>Target_Wastage_X_H (mg/L)</v>
          </cell>
          <cell r="B22">
            <v>3716.7050163433692</v>
          </cell>
          <cell r="C22">
            <v>933.72533388706904</v>
          </cell>
          <cell r="D22">
            <v>60.535917487490529</v>
          </cell>
          <cell r="E22">
            <v>7.6090377761585408</v>
          </cell>
          <cell r="F22">
            <v>36.781307979582792</v>
          </cell>
          <cell r="G22">
            <v>2.8384464766722139</v>
          </cell>
          <cell r="H22">
            <v>0.99535453549389996</v>
          </cell>
          <cell r="I22">
            <v>1.3548918792591199E-3</v>
          </cell>
          <cell r="J22">
            <v>0.99509189439108159</v>
          </cell>
          <cell r="K22">
            <v>1.43149354027729E-3</v>
          </cell>
        </row>
        <row r="23">
          <cell r="A23" t="str">
            <v>Target_Wastage_X_PAO (mg/L)</v>
          </cell>
          <cell r="B23">
            <v>124.8744338049228</v>
          </cell>
          <cell r="C23">
            <v>318.35974175828181</v>
          </cell>
          <cell r="D23">
            <v>7.3900214084082858</v>
          </cell>
          <cell r="E23">
            <v>8.8356611642310021</v>
          </cell>
          <cell r="F23">
            <v>2.4732818826019849</v>
          </cell>
          <cell r="G23">
            <v>0.97177662373138174</v>
          </cell>
          <cell r="H23">
            <v>0.93536810481819566</v>
          </cell>
          <cell r="I23">
            <v>0.13195516010549579</v>
          </cell>
          <cell r="J23">
            <v>0.93171400473724564</v>
          </cell>
          <cell r="K23">
            <v>0.13941552251428699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49.914838820126583</v>
          </cell>
          <cell r="C4">
            <v>7.7655171253758466</v>
          </cell>
          <cell r="D4">
            <v>7.0461277117627814</v>
          </cell>
          <cell r="E4">
            <v>0.5445927016844706</v>
          </cell>
          <cell r="F4">
            <v>4.3478102510350229</v>
          </cell>
          <cell r="G4">
            <v>0.35542602601066808</v>
          </cell>
          <cell r="H4">
            <v>0.97120060053802093</v>
          </cell>
          <cell r="I4">
            <v>2.8106157611814211E-3</v>
          </cell>
          <cell r="J4">
            <v>0.96957236593946372</v>
          </cell>
          <cell r="K4">
            <v>2.9695198324849619E-3</v>
          </cell>
        </row>
        <row r="5">
          <cell r="A5" t="str">
            <v>Target_Effluent_COD (mg/L)</v>
          </cell>
          <cell r="B5">
            <v>5528.9686000403144</v>
          </cell>
          <cell r="C5">
            <v>1751.6236370878651</v>
          </cell>
          <cell r="D5">
            <v>73.530844231826393</v>
          </cell>
          <cell r="E5">
            <v>11.65158771227709</v>
          </cell>
          <cell r="F5">
            <v>42.398071779881477</v>
          </cell>
          <cell r="G5">
            <v>4.8707175943387693</v>
          </cell>
          <cell r="H5">
            <v>0.96727057577401199</v>
          </cell>
          <cell r="I5">
            <v>1.090890992024948E-2</v>
          </cell>
          <cell r="J5">
            <v>0.96542014896264872</v>
          </cell>
          <cell r="K5">
            <v>1.1525668078284789E-2</v>
          </cell>
        </row>
        <row r="6">
          <cell r="A6" t="str">
            <v>Target_Effluent_TKN (mg/L)</v>
          </cell>
          <cell r="B6">
            <v>33.538034890566728</v>
          </cell>
          <cell r="C6">
            <v>17.18519775898617</v>
          </cell>
          <cell r="D6">
            <v>5.6333740432708819</v>
          </cell>
          <cell r="E6">
            <v>1.415443306752971</v>
          </cell>
          <cell r="F6">
            <v>2.8830184496409812</v>
          </cell>
          <cell r="G6">
            <v>0.41913811231904391</v>
          </cell>
          <cell r="H6">
            <v>0.89835923230891779</v>
          </cell>
          <cell r="I6">
            <v>3.0881511529564531E-2</v>
          </cell>
          <cell r="J6">
            <v>0.89261275781048222</v>
          </cell>
          <cell r="K6">
            <v>3.2627462711448042E-2</v>
          </cell>
        </row>
        <row r="7">
          <cell r="A7" t="str">
            <v>Target_Effluent_TN (mg/L)</v>
          </cell>
          <cell r="B7">
            <v>50.828603652869297</v>
          </cell>
          <cell r="C7">
            <v>7.9255794771573029</v>
          </cell>
          <cell r="D7">
            <v>7.1095413146504738</v>
          </cell>
          <cell r="E7">
            <v>0.5607791684069926</v>
          </cell>
          <cell r="F7">
            <v>4.7054759934195349</v>
          </cell>
          <cell r="G7">
            <v>0.35050638634322628</v>
          </cell>
          <cell r="H7">
            <v>0.79304662567130502</v>
          </cell>
          <cell r="I7">
            <v>2.920921365267121E-2</v>
          </cell>
          <cell r="J7">
            <v>0.78134608153964735</v>
          </cell>
          <cell r="K7">
            <v>3.0860617958122501E-2</v>
          </cell>
        </row>
        <row r="8">
          <cell r="A8" t="str">
            <v>Target_Effluent_TP (mg/L)</v>
          </cell>
          <cell r="B8">
            <v>2.2674486744473832</v>
          </cell>
          <cell r="C8">
            <v>0.98988620640863578</v>
          </cell>
          <cell r="D8">
            <v>1.477507144400366</v>
          </cell>
          <cell r="E8">
            <v>0.30627023777713969</v>
          </cell>
          <cell r="F8">
            <v>0.87137283665192711</v>
          </cell>
          <cell r="G8">
            <v>0.1208901055443764</v>
          </cell>
          <cell r="H8">
            <v>0.95917406370387115</v>
          </cell>
          <cell r="I8">
            <v>1.5868742764805339E-2</v>
          </cell>
          <cell r="J8">
            <v>0.9568658835599203</v>
          </cell>
          <cell r="K8">
            <v>1.6765915500624749E-2</v>
          </cell>
        </row>
        <row r="9">
          <cell r="A9" t="str">
            <v>Target_Effluent_TSS (mg/L)</v>
          </cell>
          <cell r="B9">
            <v>4974.7995660792503</v>
          </cell>
          <cell r="C9">
            <v>1781.936126376102</v>
          </cell>
          <cell r="D9">
            <v>69.498825941794991</v>
          </cell>
          <cell r="E9">
            <v>12.680376737802129</v>
          </cell>
          <cell r="F9">
            <v>37.122706262122783</v>
          </cell>
          <cell r="G9">
            <v>4.6968490469907556</v>
          </cell>
          <cell r="H9">
            <v>0.95613209579331548</v>
          </cell>
          <cell r="I9">
            <v>1.603917497598132E-2</v>
          </cell>
          <cell r="J9">
            <v>0.95365193159788453</v>
          </cell>
          <cell r="K9">
            <v>1.6945983455188739E-2</v>
          </cell>
        </row>
        <row r="10">
          <cell r="A10" t="str">
            <v>Target_Effluent_VSS (mg/L)</v>
          </cell>
          <cell r="B10">
            <v>3337.2935241604309</v>
          </cell>
          <cell r="C10">
            <v>1204.6605957511861</v>
          </cell>
          <cell r="D10">
            <v>56.907838638863289</v>
          </cell>
          <cell r="E10">
            <v>10.47703444118129</v>
          </cell>
          <cell r="F10">
            <v>30.479272419862252</v>
          </cell>
          <cell r="G10">
            <v>3.7118532961062338</v>
          </cell>
          <cell r="H10">
            <v>0.95643558958569486</v>
          </cell>
          <cell r="I10">
            <v>1.634878548208182E-2</v>
          </cell>
          <cell r="J10">
            <v>0.95397258404990359</v>
          </cell>
          <cell r="K10">
            <v>1.727309844219951E-2</v>
          </cell>
        </row>
        <row r="11">
          <cell r="A11" t="str">
            <v>Target_Effluent_X_AUT (mg/L)</v>
          </cell>
          <cell r="B11">
            <v>0.71083361649954679</v>
          </cell>
          <cell r="C11">
            <v>0.12376426500704139</v>
          </cell>
          <cell r="D11">
            <v>0.84025049024571297</v>
          </cell>
          <cell r="E11">
            <v>7.3126451677031384E-2</v>
          </cell>
          <cell r="F11">
            <v>0.50574652817564369</v>
          </cell>
          <cell r="G11">
            <v>4.1103369024531183E-2</v>
          </cell>
          <cell r="H11">
            <v>0.96960378481846754</v>
          </cell>
          <cell r="I11">
            <v>4.3555026798526523E-3</v>
          </cell>
          <cell r="J11">
            <v>0.96788527088594267</v>
          </cell>
          <cell r="K11">
            <v>4.6017501811870956E-3</v>
          </cell>
        </row>
        <row r="12">
          <cell r="A12" t="str">
            <v>Target_Effluent_X_H (mg/L)</v>
          </cell>
          <cell r="B12">
            <v>138.6710475493696</v>
          </cell>
          <cell r="C12">
            <v>23.273607977584319</v>
          </cell>
          <cell r="D12">
            <v>11.74000578519029</v>
          </cell>
          <cell r="E12">
            <v>0.96799432566525234</v>
          </cell>
          <cell r="F12">
            <v>7.0006951897584218</v>
          </cell>
          <cell r="G12">
            <v>0.57487125071876299</v>
          </cell>
          <cell r="H12">
            <v>0.96835803683731181</v>
          </cell>
          <cell r="I12">
            <v>3.0506156329380709E-3</v>
          </cell>
          <cell r="J12">
            <v>0.96656909192352014</v>
          </cell>
          <cell r="K12">
            <v>3.2230886015847449E-3</v>
          </cell>
        </row>
        <row r="13">
          <cell r="A13" t="str">
            <v>Target_Effluent_X_PAO (mg/L)</v>
          </cell>
          <cell r="B13">
            <v>0.70740606719612242</v>
          </cell>
          <cell r="C13">
            <v>1.4210605754129619</v>
          </cell>
          <cell r="D13">
            <v>0.67189495964914836</v>
          </cell>
          <cell r="E13">
            <v>0.53329503028518799</v>
          </cell>
          <cell r="F13">
            <v>0.33328795099243252</v>
          </cell>
          <cell r="G13">
            <v>8.3863579835380231E-2</v>
          </cell>
          <cell r="H13">
            <v>0.92946503498178945</v>
          </cell>
          <cell r="I13">
            <v>0.1143386485938878</v>
          </cell>
          <cell r="J13">
            <v>0.92547719243659032</v>
          </cell>
          <cell r="K13">
            <v>0.1208030244861218</v>
          </cell>
        </row>
        <row r="14">
          <cell r="A14" t="str">
            <v>Target_Wastage_BOD (mg/L)</v>
          </cell>
          <cell r="B14">
            <v>9396.9335098798965</v>
          </cell>
          <cell r="C14">
            <v>1292.153156016876</v>
          </cell>
          <cell r="D14">
            <v>96.725682904764</v>
          </cell>
          <cell r="E14">
            <v>6.7557199210858574</v>
          </cell>
          <cell r="F14">
            <v>63.587032628312677</v>
          </cell>
          <cell r="G14">
            <v>3.6861180324522631</v>
          </cell>
          <cell r="H14">
            <v>0.97043104796738022</v>
          </cell>
          <cell r="I14">
            <v>4.2673322442544686E-3</v>
          </cell>
          <cell r="J14">
            <v>0.96875930509627806</v>
          </cell>
          <cell r="K14">
            <v>4.5085948446363698E-3</v>
          </cell>
        </row>
        <row r="15">
          <cell r="A15" t="str">
            <v>Target_Wastage_COD (mg/L)</v>
          </cell>
          <cell r="B15">
            <v>499426.89786121598</v>
          </cell>
          <cell r="C15">
            <v>108932.7305992152</v>
          </cell>
          <cell r="D15">
            <v>702.87939546408415</v>
          </cell>
          <cell r="E15">
            <v>77.369627210766453</v>
          </cell>
          <cell r="F15">
            <v>486.19882695656412</v>
          </cell>
          <cell r="G15">
            <v>34.947248483456299</v>
          </cell>
          <cell r="H15">
            <v>0.96405731397839123</v>
          </cell>
          <cell r="I15">
            <v>7.331769607890345E-3</v>
          </cell>
          <cell r="J15">
            <v>0.96202521865561474</v>
          </cell>
          <cell r="K15">
            <v>7.7462866175237247E-3</v>
          </cell>
        </row>
        <row r="16">
          <cell r="A16" t="str">
            <v>Target_Wastage_TKN (mg/L)</v>
          </cell>
          <cell r="B16">
            <v>397.89273086342371</v>
          </cell>
          <cell r="C16">
            <v>82.588361780955751</v>
          </cell>
          <cell r="D16">
            <v>19.855896330778599</v>
          </cell>
          <cell r="E16">
            <v>2.0100060156893238</v>
          </cell>
          <cell r="F16">
            <v>13.76333667543352</v>
          </cell>
          <cell r="G16">
            <v>0.94220113715486364</v>
          </cell>
          <cell r="H16">
            <v>0.9706290000542408</v>
          </cell>
          <cell r="I16">
            <v>5.3852966056379481E-3</v>
          </cell>
          <cell r="J16">
            <v>0.96896844882055844</v>
          </cell>
          <cell r="K16">
            <v>5.6897656716811172E-3</v>
          </cell>
        </row>
        <row r="17">
          <cell r="A17" t="str">
            <v>Target_Wastage_TN (mg/L)</v>
          </cell>
          <cell r="B17">
            <v>407.1680533447738</v>
          </cell>
          <cell r="C17">
            <v>89.579522218294727</v>
          </cell>
          <cell r="D17">
            <v>20.07641421417398</v>
          </cell>
          <cell r="E17">
            <v>2.1358437431627681</v>
          </cell>
          <cell r="F17">
            <v>14.112299249403961</v>
          </cell>
          <cell r="G17">
            <v>1.024897473374075</v>
          </cell>
          <cell r="H17">
            <v>0.96710939722801792</v>
          </cell>
          <cell r="I17">
            <v>6.9282656702136427E-3</v>
          </cell>
          <cell r="J17">
            <v>0.96524985784868333</v>
          </cell>
          <cell r="K17">
            <v>7.3199697363741569E-3</v>
          </cell>
        </row>
        <row r="18">
          <cell r="A18" t="str">
            <v>Target_Wastage_TP (mg/L)</v>
          </cell>
          <cell r="B18">
            <v>552.52739299524501</v>
          </cell>
          <cell r="C18">
            <v>447.07383385754622</v>
          </cell>
          <cell r="D18">
            <v>21.997806385912249</v>
          </cell>
          <cell r="E18">
            <v>8.7320550720487589</v>
          </cell>
          <cell r="F18">
            <v>10.742960497326321</v>
          </cell>
          <cell r="G18">
            <v>1.3486617906256559</v>
          </cell>
          <cell r="H18">
            <v>0.93607486630469761</v>
          </cell>
          <cell r="I18">
            <v>7.2857206923554352E-2</v>
          </cell>
          <cell r="J18">
            <v>0.93246072447033423</v>
          </cell>
          <cell r="K18">
            <v>7.697634229732421E-2</v>
          </cell>
        </row>
        <row r="19">
          <cell r="A19" t="str">
            <v>Target_Wastage_TSS (mg/L)</v>
          </cell>
          <cell r="B19">
            <v>316949.30610232631</v>
          </cell>
          <cell r="C19">
            <v>67394.671705362445</v>
          </cell>
          <cell r="D19">
            <v>560.1627056190265</v>
          </cell>
          <cell r="E19">
            <v>59.320685317632133</v>
          </cell>
          <cell r="F19">
            <v>389.5585234290229</v>
          </cell>
          <cell r="G19">
            <v>25.787634892345281</v>
          </cell>
          <cell r="H19">
            <v>0.96627462740747028</v>
          </cell>
          <cell r="I19">
            <v>6.1622867186214656E-3</v>
          </cell>
          <cell r="J19">
            <v>0.96436789256124944</v>
          </cell>
          <cell r="K19">
            <v>6.5106845543032319E-3</v>
          </cell>
        </row>
        <row r="20">
          <cell r="A20" t="str">
            <v>Target_Wastage_VSS (mg/L)</v>
          </cell>
          <cell r="B20">
            <v>221360.1476632269</v>
          </cell>
          <cell r="C20">
            <v>48717.25788430262</v>
          </cell>
          <cell r="D20">
            <v>467.91666474768658</v>
          </cell>
          <cell r="E20">
            <v>51.791703696719694</v>
          </cell>
          <cell r="F20">
            <v>323.91186453902247</v>
          </cell>
          <cell r="G20">
            <v>22.96712252977343</v>
          </cell>
          <cell r="H20">
            <v>0.96524791190866921</v>
          </cell>
          <cell r="I20">
            <v>7.1962044648665856E-3</v>
          </cell>
          <cell r="J20">
            <v>0.96328312954308171</v>
          </cell>
          <cell r="K20">
            <v>7.6030570141169818E-3</v>
          </cell>
        </row>
        <row r="21">
          <cell r="A21" t="str">
            <v>Target_Wastage_X_AUT (mg/L)</v>
          </cell>
          <cell r="B21">
            <v>137.52935092750269</v>
          </cell>
          <cell r="C21">
            <v>31.593723515422049</v>
          </cell>
          <cell r="D21">
            <v>11.660313848946361</v>
          </cell>
          <cell r="E21">
            <v>1.3192724727298839</v>
          </cell>
          <cell r="F21">
            <v>7.4725361480041386</v>
          </cell>
          <cell r="G21">
            <v>0.60150368333145288</v>
          </cell>
          <cell r="H21">
            <v>0.96767793613528907</v>
          </cell>
          <cell r="I21">
            <v>5.5481696742649593E-3</v>
          </cell>
          <cell r="J21">
            <v>0.96585054029841488</v>
          </cell>
          <cell r="K21">
            <v>5.8618471116792551E-3</v>
          </cell>
        </row>
        <row r="22">
          <cell r="A22" t="str">
            <v>Target_Wastage_X_H (mg/L)</v>
          </cell>
          <cell r="B22">
            <v>24634.018817974211</v>
          </cell>
          <cell r="C22">
            <v>3690.2749959148409</v>
          </cell>
          <cell r="D22">
            <v>156.5422234976152</v>
          </cell>
          <cell r="E22">
            <v>11.95134025012865</v>
          </cell>
          <cell r="F22">
            <v>102.09315704326281</v>
          </cell>
          <cell r="G22">
            <v>6.8121092210206582</v>
          </cell>
          <cell r="H22">
            <v>0.96945186744276879</v>
          </cell>
          <cell r="I22">
            <v>4.2553720171243266E-3</v>
          </cell>
          <cell r="J22">
            <v>0.96772476454200673</v>
          </cell>
          <cell r="K22">
            <v>4.4959584209193146E-3</v>
          </cell>
        </row>
        <row r="23">
          <cell r="A23" t="str">
            <v>Target_Wastage_X_PAO (mg/L)</v>
          </cell>
          <cell r="B23">
            <v>182.24181358375191</v>
          </cell>
          <cell r="C23">
            <v>378.30165639683099</v>
          </cell>
          <cell r="D23">
            <v>10.51046494171616</v>
          </cell>
          <cell r="E23">
            <v>8.9300952024729519</v>
          </cell>
          <cell r="F23">
            <v>5.0946513577687851</v>
          </cell>
          <cell r="G23">
            <v>1.131953973600528</v>
          </cell>
          <cell r="H23">
            <v>0.89203550036580803</v>
          </cell>
          <cell r="I23">
            <v>0.1514431252820993</v>
          </cell>
          <cell r="J23">
            <v>0.8859315003864896</v>
          </cell>
          <cell r="K23">
            <v>0.16000528077508011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100678.9970383352</v>
          </cell>
          <cell r="C4">
            <v>315132.74801852531</v>
          </cell>
          <cell r="D4">
            <v>128.50675317782611</v>
          </cell>
          <cell r="E4">
            <v>305.80496948586989</v>
          </cell>
          <cell r="F4">
            <v>23.483571435977581</v>
          </cell>
          <cell r="G4">
            <v>18.82031129909738</v>
          </cell>
          <cell r="H4">
            <v>-56.964050734855533</v>
          </cell>
          <cell r="I4">
            <v>181.43599528670919</v>
          </cell>
          <cell r="J4">
            <v>-60.241170211031097</v>
          </cell>
          <cell r="K4">
            <v>191.69386074461491</v>
          </cell>
        </row>
        <row r="5">
          <cell r="A5" t="str">
            <v>Target_Effluent_COD (mg/L)</v>
          </cell>
          <cell r="B5">
            <v>1062006.907738914</v>
          </cell>
          <cell r="C5">
            <v>3223518.3002537088</v>
          </cell>
          <cell r="D5">
            <v>505.47114566428968</v>
          </cell>
          <cell r="E5">
            <v>946.63487542847997</v>
          </cell>
          <cell r="F5">
            <v>168.82573262917711</v>
          </cell>
          <cell r="G5">
            <v>64.611599088479778</v>
          </cell>
          <cell r="H5">
            <v>-5.6441865002755716</v>
          </cell>
          <cell r="I5">
            <v>20.222822481827151</v>
          </cell>
          <cell r="J5">
            <v>-6.0198295532946844</v>
          </cell>
          <cell r="K5">
            <v>21.36616226878558</v>
          </cell>
        </row>
        <row r="6">
          <cell r="A6" t="str">
            <v>Target_Effluent_TKN (mg/L)</v>
          </cell>
          <cell r="B6">
            <v>101.6307268994203</v>
          </cell>
          <cell r="C6">
            <v>179.35262897406889</v>
          </cell>
          <cell r="D6">
            <v>8.292658643079891</v>
          </cell>
          <cell r="E6">
            <v>6.0426759643180761</v>
          </cell>
          <cell r="F6">
            <v>3.827171541304033</v>
          </cell>
          <cell r="G6">
            <v>0.77869195715183948</v>
          </cell>
          <cell r="H6">
            <v>0.75178857993290937</v>
          </cell>
          <cell r="I6">
            <v>0.32623521308663228</v>
          </cell>
          <cell r="J6">
            <v>0.73775542544148376</v>
          </cell>
          <cell r="K6">
            <v>0.34467960675937459</v>
          </cell>
        </row>
        <row r="7">
          <cell r="A7" t="str">
            <v>Target_Effluent_TN (mg/L)</v>
          </cell>
          <cell r="B7">
            <v>11.025256566521641</v>
          </cell>
          <cell r="C7">
            <v>1.5199822789234601</v>
          </cell>
          <cell r="D7">
            <v>3.3136516214380318</v>
          </cell>
          <cell r="E7">
            <v>0.22353100272852841</v>
          </cell>
          <cell r="F7">
            <v>2.5762177510794309</v>
          </cell>
          <cell r="G7">
            <v>0.1536822513531233</v>
          </cell>
          <cell r="H7">
            <v>0.95489212108630883</v>
          </cell>
          <cell r="I7">
            <v>6.981269337006631E-3</v>
          </cell>
          <cell r="J7">
            <v>0.95234185231380342</v>
          </cell>
          <cell r="K7">
            <v>7.3759700769080771E-3</v>
          </cell>
        </row>
        <row r="8">
          <cell r="A8" t="str">
            <v>Target_Effluent_TP (mg/L)</v>
          </cell>
          <cell r="B8">
            <v>7.9852927148272883</v>
          </cell>
          <cell r="C8">
            <v>4.8579715313087144</v>
          </cell>
          <cell r="D8">
            <v>2.7479898807739471</v>
          </cell>
          <cell r="E8">
            <v>0.69429767070462367</v>
          </cell>
          <cell r="F8">
            <v>1.956943520096313</v>
          </cell>
          <cell r="G8">
            <v>0.1907694882538804</v>
          </cell>
          <cell r="H8">
            <v>0.85339605862327128</v>
          </cell>
          <cell r="I8">
            <v>9.6060620503487418E-2</v>
          </cell>
          <cell r="J8">
            <v>0.84510749656663631</v>
          </cell>
          <cell r="K8">
            <v>0.10149160964856099</v>
          </cell>
        </row>
        <row r="9">
          <cell r="A9" t="str">
            <v>Target_Effluent_TSS (mg/L)</v>
          </cell>
          <cell r="B9">
            <v>6963205627.0569057</v>
          </cell>
          <cell r="C9">
            <v>22019168583.4277</v>
          </cell>
          <cell r="D9">
            <v>26714.495904134001</v>
          </cell>
          <cell r="E9">
            <v>83330.275514864552</v>
          </cell>
          <cell r="F9">
            <v>1742.5045810275381</v>
          </cell>
          <cell r="G9">
            <v>4842.5398789412138</v>
          </cell>
          <cell r="H9">
            <v>-63769.604805078947</v>
          </cell>
          <cell r="I9">
            <v>201656.69318907519</v>
          </cell>
          <cell r="J9">
            <v>-67375.010023740644</v>
          </cell>
          <cell r="K9">
            <v>213057.7783163728</v>
          </cell>
        </row>
        <row r="10">
          <cell r="A10" t="str">
            <v>Target_Effluent_VSS (mg/L)</v>
          </cell>
          <cell r="B10">
            <v>4972833906.367239</v>
          </cell>
          <cell r="C10">
            <v>15725194055.660601</v>
          </cell>
          <cell r="D10">
            <v>22569.771489034149</v>
          </cell>
          <cell r="E10">
            <v>70422.844472988218</v>
          </cell>
          <cell r="F10">
            <v>1468.1955227684109</v>
          </cell>
          <cell r="G10">
            <v>4091.5378096234449</v>
          </cell>
          <cell r="H10">
            <v>-68672.805959959253</v>
          </cell>
          <cell r="I10">
            <v>217161.9501973408</v>
          </cell>
          <cell r="J10">
            <v>-72555.423964762609</v>
          </cell>
          <cell r="K10">
            <v>229439.6576289926</v>
          </cell>
        </row>
        <row r="11">
          <cell r="A11" t="str">
            <v>Target_Effluent_X_AUT (mg/L)</v>
          </cell>
          <cell r="B11">
            <v>67285315.743571252</v>
          </cell>
          <cell r="C11">
            <v>212774737.96168381</v>
          </cell>
          <cell r="D11">
            <v>2599.278509054187</v>
          </cell>
          <cell r="E11">
            <v>8200.8852486884534</v>
          </cell>
          <cell r="F11">
            <v>152.7434556386971</v>
          </cell>
          <cell r="G11">
            <v>473.75803554496059</v>
          </cell>
          <cell r="H11">
            <v>-3117037.381152486</v>
          </cell>
          <cell r="I11">
            <v>9856936.0721518062</v>
          </cell>
          <cell r="J11">
            <v>-3293265.6995215309</v>
          </cell>
          <cell r="K11">
            <v>10414218.67693777</v>
          </cell>
        </row>
        <row r="12">
          <cell r="A12" t="str">
            <v>Target_Effluent_X_H (mg/L)</v>
          </cell>
          <cell r="B12">
            <v>4533045636.5002995</v>
          </cell>
          <cell r="C12">
            <v>14334729627.75675</v>
          </cell>
          <cell r="D12">
            <v>21360.6380191104</v>
          </cell>
          <cell r="E12">
            <v>67303.366103015098</v>
          </cell>
          <cell r="F12">
            <v>1270.894982505934</v>
          </cell>
          <cell r="G12">
            <v>3896.129761785789</v>
          </cell>
          <cell r="H12">
            <v>-1012392.775542604</v>
          </cell>
          <cell r="I12">
            <v>3201465.8218409922</v>
          </cell>
          <cell r="J12">
            <v>-1069630.586173987</v>
          </cell>
          <cell r="K12">
            <v>3382467.423075818</v>
          </cell>
        </row>
        <row r="13">
          <cell r="A13" t="str">
            <v>Target_Effluent_X_PAO (mg/L)</v>
          </cell>
          <cell r="B13">
            <v>114289788275043.91</v>
          </cell>
          <cell r="C13">
            <v>361416044247518.13</v>
          </cell>
          <cell r="D13">
            <v>3380679.8970494</v>
          </cell>
          <cell r="E13">
            <v>10690639.29637772</v>
          </cell>
          <cell r="F13">
            <v>195186.27248383631</v>
          </cell>
          <cell r="G13">
            <v>617228.06871134834</v>
          </cell>
          <cell r="H13">
            <v>-9507075056231.6504</v>
          </cell>
          <cell r="I13">
            <v>30064011063864.961</v>
          </cell>
          <cell r="J13">
            <v>-10044577532909.119</v>
          </cell>
          <cell r="K13">
            <v>31763743138147.07</v>
          </cell>
        </row>
        <row r="14">
          <cell r="A14" t="str">
            <v>Target_Wastage_BOD (mg/L)</v>
          </cell>
          <cell r="B14">
            <v>489377.56072825572</v>
          </cell>
          <cell r="C14">
            <v>1357515.5575482431</v>
          </cell>
          <cell r="D14">
            <v>428.29807071379707</v>
          </cell>
          <cell r="E14">
            <v>583.03642286747856</v>
          </cell>
          <cell r="F14">
            <v>172.398232801658</v>
          </cell>
          <cell r="G14">
            <v>52.383169537644228</v>
          </cell>
          <cell r="H14">
            <v>-0.44828815885199741</v>
          </cell>
          <cell r="I14">
            <v>3.9816483427795508</v>
          </cell>
          <cell r="J14">
            <v>-0.53017017490016705</v>
          </cell>
          <cell r="K14">
            <v>4.2067592031487138</v>
          </cell>
        </row>
        <row r="15">
          <cell r="A15" t="str">
            <v>Target_Wastage_COD (mg/L)</v>
          </cell>
          <cell r="B15">
            <v>3754040.47186958</v>
          </cell>
          <cell r="C15">
            <v>1050154.718607174</v>
          </cell>
          <cell r="D15">
            <v>1922.2337165199081</v>
          </cell>
          <cell r="E15">
            <v>256.16403369638249</v>
          </cell>
          <cell r="F15">
            <v>1320.56734041498</v>
          </cell>
          <cell r="G15">
            <v>92.292445770732144</v>
          </cell>
          <cell r="H15">
            <v>0.72744534216496393</v>
          </cell>
          <cell r="I15">
            <v>8.2021468469687428E-2</v>
          </cell>
          <cell r="J15">
            <v>0.71203589154531532</v>
          </cell>
          <cell r="K15">
            <v>8.6658724637584908E-2</v>
          </cell>
        </row>
        <row r="16">
          <cell r="A16" t="str">
            <v>Target_Wastage_TKN (mg/L)</v>
          </cell>
          <cell r="B16">
            <v>3053.89445964479</v>
          </cell>
          <cell r="C16">
            <v>696.67035780597769</v>
          </cell>
          <cell r="D16">
            <v>54.936843283083149</v>
          </cell>
          <cell r="E16">
            <v>6.3102834708955813</v>
          </cell>
          <cell r="F16">
            <v>37.488343221982163</v>
          </cell>
          <cell r="G16">
            <v>2.7683116620825841</v>
          </cell>
          <cell r="H16">
            <v>0.77387305532558481</v>
          </cell>
          <cell r="I16">
            <v>5.0059582000142842E-2</v>
          </cell>
          <cell r="J16">
            <v>0.76108849308250837</v>
          </cell>
          <cell r="K16">
            <v>5.2889805717465377E-2</v>
          </cell>
        </row>
        <row r="17">
          <cell r="A17" t="str">
            <v>Target_Wastage_TN (mg/L)</v>
          </cell>
          <cell r="B17">
            <v>2616.2530687336362</v>
          </cell>
          <cell r="C17">
            <v>531.13838974534372</v>
          </cell>
          <cell r="D17">
            <v>50.90516615929036</v>
          </cell>
          <cell r="E17">
            <v>5.2617199372950223</v>
          </cell>
          <cell r="F17">
            <v>34.66669253095138</v>
          </cell>
          <cell r="G17">
            <v>2.3856741758038909</v>
          </cell>
          <cell r="H17">
            <v>0.78841647915191104</v>
          </cell>
          <cell r="I17">
            <v>4.2566907348688489E-2</v>
          </cell>
          <cell r="J17">
            <v>0.77645415995201905</v>
          </cell>
          <cell r="K17">
            <v>4.4973516951441229E-2</v>
          </cell>
        </row>
        <row r="18">
          <cell r="A18" t="str">
            <v>Target_Wastage_TP (mg/L)</v>
          </cell>
          <cell r="B18">
            <v>2484.7688907429342</v>
          </cell>
          <cell r="C18">
            <v>2382.034926521646</v>
          </cell>
          <cell r="D18">
            <v>46.691982560179667</v>
          </cell>
          <cell r="E18">
            <v>18.397694763288239</v>
          </cell>
          <cell r="F18">
            <v>26.912765823581839</v>
          </cell>
          <cell r="G18">
            <v>3.7427136640180052</v>
          </cell>
          <cell r="H18">
            <v>0.76159791937727472</v>
          </cell>
          <cell r="I18">
            <v>0.16544873339302649</v>
          </cell>
          <cell r="J18">
            <v>0.74811935651521255</v>
          </cell>
          <cell r="K18">
            <v>0.1748027253869785</v>
          </cell>
        </row>
        <row r="19">
          <cell r="A19" t="str">
            <v>Target_Wastage_TSS (mg/L)</v>
          </cell>
          <cell r="B19">
            <v>2512007.8641289771</v>
          </cell>
          <cell r="C19">
            <v>659360.29423677118</v>
          </cell>
          <cell r="D19">
            <v>1573.5537706400769</v>
          </cell>
          <cell r="E19">
            <v>199.82324142816029</v>
          </cell>
          <cell r="F19">
            <v>1083.8637084590141</v>
          </cell>
          <cell r="G19">
            <v>74.545174506938693</v>
          </cell>
          <cell r="H19">
            <v>0.73010648113240406</v>
          </cell>
          <cell r="I19">
            <v>7.5453132019267719E-2</v>
          </cell>
          <cell r="J19">
            <v>0.71484748359925376</v>
          </cell>
          <cell r="K19">
            <v>7.9719033476187445E-2</v>
          </cell>
        </row>
        <row r="20">
          <cell r="A20" t="str">
            <v>Target_Wastage_VSS (mg/L)</v>
          </cell>
          <cell r="B20">
            <v>1723086.0222816709</v>
          </cell>
          <cell r="C20">
            <v>465377.71561672492</v>
          </cell>
          <cell r="D20">
            <v>1302.8297907240169</v>
          </cell>
          <cell r="E20">
            <v>169.0514671259275</v>
          </cell>
          <cell r="F20">
            <v>896.33533612253211</v>
          </cell>
          <cell r="G20">
            <v>61.9467451680149</v>
          </cell>
          <cell r="H20">
            <v>0.72729543241041161</v>
          </cell>
          <cell r="I20">
            <v>7.9030629689103515E-2</v>
          </cell>
          <cell r="J20">
            <v>0.71187750632760805</v>
          </cell>
          <cell r="K20">
            <v>8.3498792498381449E-2</v>
          </cell>
        </row>
        <row r="21">
          <cell r="A21" t="str">
            <v>Target_Wastage_X_AUT (mg/L)</v>
          </cell>
          <cell r="B21">
            <v>13729.49944795161</v>
          </cell>
          <cell r="C21">
            <v>40807.695617963567</v>
          </cell>
          <cell r="D21">
            <v>61.769717050826422</v>
          </cell>
          <cell r="E21">
            <v>104.9550247773485</v>
          </cell>
          <cell r="F21">
            <v>20.740845771080291</v>
          </cell>
          <cell r="G21">
            <v>7.6622714077068013</v>
          </cell>
          <cell r="H21">
            <v>-2.0573386370428048</v>
          </cell>
          <cell r="I21">
            <v>9.0491418120266154</v>
          </cell>
          <cell r="J21">
            <v>-2.230191704861479</v>
          </cell>
          <cell r="K21">
            <v>9.5607540699503826</v>
          </cell>
        </row>
        <row r="22">
          <cell r="A22" t="str">
            <v>Target_Wastage_X_H (mg/L)</v>
          </cell>
          <cell r="B22">
            <v>764614.4221493355</v>
          </cell>
          <cell r="C22">
            <v>1939612.1793718501</v>
          </cell>
          <cell r="D22">
            <v>599.1628805338197</v>
          </cell>
          <cell r="E22">
            <v>671.33222835042409</v>
          </cell>
          <cell r="F22">
            <v>267.38342736778458</v>
          </cell>
          <cell r="G22">
            <v>68.729807229569033</v>
          </cell>
          <cell r="H22">
            <v>0.1104473066080004</v>
          </cell>
          <cell r="I22">
            <v>2.217708938866052</v>
          </cell>
          <cell r="J22">
            <v>6.0154574826120542E-2</v>
          </cell>
          <cell r="K22">
            <v>2.343091776399115</v>
          </cell>
        </row>
        <row r="23">
          <cell r="A23" t="str">
            <v>Target_Wastage_X_PAO (mg/L)</v>
          </cell>
          <cell r="B23">
            <v>1855963022.96964</v>
          </cell>
          <cell r="C23">
            <v>5869069823.3079491</v>
          </cell>
          <cell r="D23">
            <v>13635.54713919562</v>
          </cell>
          <cell r="E23">
            <v>43076.609754978192</v>
          </cell>
          <cell r="F23">
            <v>797.25064991558747</v>
          </cell>
          <cell r="G23">
            <v>2491.228185436416</v>
          </cell>
          <cell r="H23">
            <v>-788795.31551158277</v>
          </cell>
          <cell r="I23">
            <v>2494392.3937857039</v>
          </cell>
          <cell r="J23">
            <v>-833391.57363237895</v>
          </cell>
          <cell r="K23">
            <v>2635418.1121622808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144.9698724783766</v>
          </cell>
          <cell r="C4">
            <v>24.128242312369242</v>
          </cell>
          <cell r="D4">
            <v>12.0023347079947</v>
          </cell>
          <cell r="E4">
            <v>1.0076562661512449</v>
          </cell>
          <cell r="F4">
            <v>7.7441125171119198</v>
          </cell>
          <cell r="G4">
            <v>0.71914589216234903</v>
          </cell>
          <cell r="H4">
            <v>0.91590825387638886</v>
          </cell>
          <cell r="I4">
            <v>1.371077475774345E-2</v>
          </cell>
          <cell r="J4">
            <v>0.91115395020862289</v>
          </cell>
          <cell r="K4">
            <v>1.4485942235213E-2</v>
          </cell>
        </row>
        <row r="5">
          <cell r="A5" t="str">
            <v>Target_Effluent_COD (mg/L)</v>
          </cell>
          <cell r="B5">
            <v>12264.710366104129</v>
          </cell>
          <cell r="C5">
            <v>1837.195964392567</v>
          </cell>
          <cell r="D5">
            <v>110.4366359454842</v>
          </cell>
          <cell r="E5">
            <v>8.7216083601285188</v>
          </cell>
          <cell r="F5">
            <v>74.837561062331432</v>
          </cell>
          <cell r="G5">
            <v>5.3595350944986961</v>
          </cell>
          <cell r="H5">
            <v>0.9275412707014038</v>
          </cell>
          <cell r="I5">
            <v>1.2438504613208589E-2</v>
          </cell>
          <cell r="J5">
            <v>0.92344466409794956</v>
          </cell>
          <cell r="K5">
            <v>1.314174162314264E-2</v>
          </cell>
        </row>
        <row r="6">
          <cell r="A6" t="str">
            <v>Target_Effluent_TKN (mg/L)</v>
          </cell>
          <cell r="B6">
            <v>34.264583712336893</v>
          </cell>
          <cell r="C6">
            <v>23.436878410878329</v>
          </cell>
          <cell r="D6">
            <v>5.6245826261595484</v>
          </cell>
          <cell r="E6">
            <v>1.7090133585854159</v>
          </cell>
          <cell r="F6">
            <v>3.0638985168493309</v>
          </cell>
          <cell r="G6">
            <v>0.50806632249690897</v>
          </cell>
          <cell r="H6">
            <v>0.89882432807445878</v>
          </cell>
          <cell r="I6">
            <v>3.758526225297068E-2</v>
          </cell>
          <cell r="J6">
            <v>0.89310414874297928</v>
          </cell>
          <cell r="K6">
            <v>3.9710224076460111E-2</v>
          </cell>
        </row>
        <row r="7">
          <cell r="A7" t="str">
            <v>Target_Effluent_TN (mg/L)</v>
          </cell>
          <cell r="B7">
            <v>27.197996212863892</v>
          </cell>
          <cell r="C7">
            <v>6.2696484959356313</v>
          </cell>
          <cell r="D7">
            <v>5.1845904310063178</v>
          </cell>
          <cell r="E7">
            <v>0.59443556382094875</v>
          </cell>
          <cell r="F7">
            <v>3.533037842121304</v>
          </cell>
          <cell r="G7">
            <v>0.32101368129943442</v>
          </cell>
          <cell r="H7">
            <v>0.88967047145627232</v>
          </cell>
          <cell r="I7">
            <v>2.222046582244017E-2</v>
          </cell>
          <cell r="J7">
            <v>0.88343275959514289</v>
          </cell>
          <cell r="K7">
            <v>2.3476746575652321E-2</v>
          </cell>
        </row>
        <row r="8">
          <cell r="A8" t="str">
            <v>Target_Effluent_TP (mg/L)</v>
          </cell>
          <cell r="B8">
            <v>3.9349237227309741</v>
          </cell>
          <cell r="C8">
            <v>1.444182084363806</v>
          </cell>
          <cell r="D8">
            <v>1.958142902852686</v>
          </cell>
          <cell r="E8">
            <v>0.33433199524263468</v>
          </cell>
          <cell r="F8">
            <v>1.275834735149898</v>
          </cell>
          <cell r="G8">
            <v>0.13308275523792221</v>
          </cell>
          <cell r="H8">
            <v>0.92922841453347649</v>
          </cell>
          <cell r="I8">
            <v>2.158892170690142E-2</v>
          </cell>
          <cell r="J8">
            <v>0.92522719415374388</v>
          </cell>
          <cell r="K8">
            <v>2.2809496785736828E-2</v>
          </cell>
        </row>
        <row r="9">
          <cell r="A9" t="str">
            <v>Target_Effluent_TSS (mg/L)</v>
          </cell>
          <cell r="B9">
            <v>17889.86172127142</v>
          </cell>
          <cell r="C9">
            <v>2229.5813627559028</v>
          </cell>
          <cell r="D9">
            <v>133.4980985330443</v>
          </cell>
          <cell r="E9">
            <v>8.6998984242485964</v>
          </cell>
          <cell r="F9">
            <v>85.909328854233678</v>
          </cell>
          <cell r="G9">
            <v>5.9357281338079666</v>
          </cell>
          <cell r="H9">
            <v>0.84241201721882653</v>
          </cell>
          <cell r="I9">
            <v>2.3449866714553388E-2</v>
          </cell>
          <cell r="J9">
            <v>0.83350244928773554</v>
          </cell>
          <cell r="K9">
            <v>2.4775654231983971E-2</v>
          </cell>
        </row>
        <row r="10">
          <cell r="A10" t="str">
            <v>Target_Effluent_VSS (mg/L)</v>
          </cell>
          <cell r="B10">
            <v>12241.0701740481</v>
          </cell>
          <cell r="C10">
            <v>1361.8287439679541</v>
          </cell>
          <cell r="D10">
            <v>110.4730475777519</v>
          </cell>
          <cell r="E10">
            <v>6.3923507180125938</v>
          </cell>
          <cell r="F10">
            <v>71.041408029225025</v>
          </cell>
          <cell r="G10">
            <v>4.666753491641634</v>
          </cell>
          <cell r="H10">
            <v>0.84073539677996312</v>
          </cell>
          <cell r="I10">
            <v>2.1814654337136169E-2</v>
          </cell>
          <cell r="J10">
            <v>0.83173103758731093</v>
          </cell>
          <cell r="K10">
            <v>2.304799168481881E-2</v>
          </cell>
        </row>
        <row r="11">
          <cell r="A11" t="str">
            <v>Target_Effluent_X_AUT (mg/L)</v>
          </cell>
          <cell r="B11">
            <v>2.863577704869031</v>
          </cell>
          <cell r="C11">
            <v>0.51598274094727514</v>
          </cell>
          <cell r="D11">
            <v>1.686122084132357</v>
          </cell>
          <cell r="E11">
            <v>0.15118062144405711</v>
          </cell>
          <cell r="F11">
            <v>1.047677838149041</v>
          </cell>
          <cell r="G11">
            <v>8.5008295635495904E-2</v>
          </cell>
          <cell r="H11">
            <v>0.87739216596815961</v>
          </cell>
          <cell r="I11">
            <v>2.0037341408600279E-2</v>
          </cell>
          <cell r="J11">
            <v>0.87046027429144779</v>
          </cell>
          <cell r="K11">
            <v>2.1170194633114779E-2</v>
          </cell>
        </row>
        <row r="12">
          <cell r="A12" t="str">
            <v>Target_Effluent_X_H (mg/L)</v>
          </cell>
          <cell r="B12">
            <v>483.08916646888082</v>
          </cell>
          <cell r="C12">
            <v>83.29318841971228</v>
          </cell>
          <cell r="D12">
            <v>21.905090115574769</v>
          </cell>
          <cell r="E12">
            <v>1.902102198863556</v>
          </cell>
          <cell r="F12">
            <v>13.511321403523381</v>
          </cell>
          <cell r="G12">
            <v>1.3689093050815639</v>
          </cell>
          <cell r="H12">
            <v>0.88927084970537695</v>
          </cell>
          <cell r="I12">
            <v>1.6933869188243689E-2</v>
          </cell>
          <cell r="J12">
            <v>0.88301054438836635</v>
          </cell>
          <cell r="K12">
            <v>1.789126108581222E-2</v>
          </cell>
        </row>
        <row r="13">
          <cell r="A13" t="str">
            <v>Target_Effluent_X_PAO (mg/L)</v>
          </cell>
          <cell r="B13">
            <v>1.5307074117208479</v>
          </cell>
          <cell r="C13">
            <v>1.6389152941445</v>
          </cell>
          <cell r="D13">
            <v>1.1536467220731561</v>
          </cell>
          <cell r="E13">
            <v>0.47117660332725769</v>
          </cell>
          <cell r="F13">
            <v>0.65773135810585015</v>
          </cell>
          <cell r="G13">
            <v>7.6588609543075947E-2</v>
          </cell>
          <cell r="H13">
            <v>0.82703006120475153</v>
          </cell>
          <cell r="I13">
            <v>0.1211881303408405</v>
          </cell>
          <cell r="J13">
            <v>0.81725084205024989</v>
          </cell>
          <cell r="K13">
            <v>0.12803975608449231</v>
          </cell>
        </row>
        <row r="14">
          <cell r="A14" t="str">
            <v>Target_Wastage_BOD (mg/L)</v>
          </cell>
          <cell r="B14">
            <v>9305.3937304207466</v>
          </cell>
          <cell r="C14">
            <v>1974.319602576647</v>
          </cell>
          <cell r="D14">
            <v>95.969285969409256</v>
          </cell>
          <cell r="E14">
            <v>10.28968636507742</v>
          </cell>
          <cell r="F14">
            <v>58.166691477564861</v>
          </cell>
          <cell r="G14">
            <v>4.6033038664819266</v>
          </cell>
          <cell r="H14">
            <v>0.97100810076969846</v>
          </cell>
          <cell r="I14">
            <v>4.717698749089041E-3</v>
          </cell>
          <cell r="J14">
            <v>0.96936898279201356</v>
          </cell>
          <cell r="K14">
            <v>4.984423766705378E-3</v>
          </cell>
        </row>
        <row r="15">
          <cell r="A15" t="str">
            <v>Target_Wastage_COD (mg/L)</v>
          </cell>
          <cell r="B15">
            <v>560904.2545493145</v>
          </cell>
          <cell r="C15">
            <v>141163.71087149819</v>
          </cell>
          <cell r="D15">
            <v>744.0519335346529</v>
          </cell>
          <cell r="E15">
            <v>90.006016790600668</v>
          </cell>
          <cell r="F15">
            <v>454.45692287868877</v>
          </cell>
          <cell r="G15">
            <v>41.098532044982058</v>
          </cell>
          <cell r="H15">
            <v>0.95973920667658885</v>
          </cell>
          <cell r="I15">
            <v>8.8851417986414404E-3</v>
          </cell>
          <cell r="J15">
            <v>0.95746297807879888</v>
          </cell>
          <cell r="K15">
            <v>9.3874819710027379E-3</v>
          </cell>
        </row>
        <row r="16">
          <cell r="A16" t="str">
            <v>Target_Wastage_TKN (mg/L)</v>
          </cell>
          <cell r="B16">
            <v>434.53671931487008</v>
          </cell>
          <cell r="C16">
            <v>85.337924349745663</v>
          </cell>
          <cell r="D16">
            <v>20.75856607674281</v>
          </cell>
          <cell r="E16">
            <v>2.0051749029760462</v>
          </cell>
          <cell r="F16">
            <v>12.751029096474859</v>
          </cell>
          <cell r="G16">
            <v>0.92207238128554891</v>
          </cell>
          <cell r="H16">
            <v>0.96804979586555118</v>
          </cell>
          <cell r="I16">
            <v>4.5965838113235808E-3</v>
          </cell>
          <cell r="J16">
            <v>0.96624342390035256</v>
          </cell>
          <cell r="K16">
            <v>4.8564613412924451E-3</v>
          </cell>
        </row>
        <row r="17">
          <cell r="A17" t="str">
            <v>Target_Wastage_TN (mg/L)</v>
          </cell>
          <cell r="B17">
            <v>393.93777359169718</v>
          </cell>
          <cell r="C17">
            <v>96.917483196021522</v>
          </cell>
          <cell r="D17">
            <v>19.735339250470581</v>
          </cell>
          <cell r="E17">
            <v>2.2246493507798339</v>
          </cell>
          <cell r="F17">
            <v>12.882768196448961</v>
          </cell>
          <cell r="G17">
            <v>0.9478341775456649</v>
          </cell>
          <cell r="H17">
            <v>0.96827008707868489</v>
          </cell>
          <cell r="I17">
            <v>6.8757024160669691E-3</v>
          </cell>
          <cell r="J17">
            <v>0.96647616974037742</v>
          </cell>
          <cell r="K17">
            <v>7.2644347081414077E-3</v>
          </cell>
        </row>
        <row r="18">
          <cell r="A18" t="str">
            <v>Target_Wastage_TP (mg/L)</v>
          </cell>
          <cell r="B18">
            <v>603.31839706789674</v>
          </cell>
          <cell r="C18">
            <v>423.55363184560389</v>
          </cell>
          <cell r="D18">
            <v>23.182864778817201</v>
          </cell>
          <cell r="E18">
            <v>8.5552568449640347</v>
          </cell>
          <cell r="F18">
            <v>10.055147710886031</v>
          </cell>
          <cell r="G18">
            <v>1.8925119609257159</v>
          </cell>
          <cell r="H18">
            <v>0.94063890473490663</v>
          </cell>
          <cell r="I18">
            <v>3.5974688421927713E-2</v>
          </cell>
          <cell r="J18">
            <v>0.93728280040896483</v>
          </cell>
          <cell r="K18">
            <v>3.8008593067690409E-2</v>
          </cell>
        </row>
        <row r="19">
          <cell r="A19" t="str">
            <v>Target_Wastage_TSS (mg/L)</v>
          </cell>
          <cell r="B19">
            <v>334091.61801555048</v>
          </cell>
          <cell r="C19">
            <v>68911.827015907125</v>
          </cell>
          <cell r="D19">
            <v>575.41933759600715</v>
          </cell>
          <cell r="E19">
            <v>57.582828614506113</v>
          </cell>
          <cell r="F19">
            <v>355.85813258311259</v>
          </cell>
          <cell r="G19">
            <v>29.202385365262231</v>
          </cell>
          <cell r="H19">
            <v>0.96443795769620344</v>
          </cell>
          <cell r="I19">
            <v>6.1662568417530346E-3</v>
          </cell>
          <cell r="J19">
            <v>0.96242738286630691</v>
          </cell>
          <cell r="K19">
            <v>6.5148791366931441E-3</v>
          </cell>
        </row>
        <row r="20">
          <cell r="A20" t="str">
            <v>Target_Wastage_VSS (mg/L)</v>
          </cell>
          <cell r="B20">
            <v>239898.6658868042</v>
          </cell>
          <cell r="C20">
            <v>43566.229867564543</v>
          </cell>
          <cell r="D20">
            <v>488.05408419846918</v>
          </cell>
          <cell r="E20">
            <v>43.485333210658887</v>
          </cell>
          <cell r="F20">
            <v>299.00900159069857</v>
          </cell>
          <cell r="G20">
            <v>23.096895508791469</v>
          </cell>
          <cell r="H20">
            <v>0.96237919880853318</v>
          </cell>
          <cell r="I20">
            <v>5.7652039234699316E-3</v>
          </cell>
          <cell r="J20">
            <v>0.96025222771643615</v>
          </cell>
          <cell r="K20">
            <v>6.0911518484717958E-3</v>
          </cell>
        </row>
        <row r="21">
          <cell r="A21" t="str">
            <v>Target_Wastage_X_AUT (mg/L)</v>
          </cell>
          <cell r="B21">
            <v>164.79075063680759</v>
          </cell>
          <cell r="C21">
            <v>52.427559892852287</v>
          </cell>
          <cell r="D21">
            <v>12.685899816494461</v>
          </cell>
          <cell r="E21">
            <v>2.0706135651791469</v>
          </cell>
          <cell r="F21">
            <v>7.5278480936314853</v>
          </cell>
          <cell r="G21">
            <v>0.66690768505690257</v>
          </cell>
          <cell r="H21">
            <v>0.96147447736238845</v>
          </cell>
          <cell r="I21">
            <v>1.0376392393718001E-2</v>
          </cell>
          <cell r="J21">
            <v>0.9592963559411809</v>
          </cell>
          <cell r="K21">
            <v>1.096304355378681E-2</v>
          </cell>
        </row>
        <row r="22">
          <cell r="A22" t="str">
            <v>Target_Wastage_X_H (mg/L)</v>
          </cell>
          <cell r="B22">
            <v>23877.507245125329</v>
          </cell>
          <cell r="C22">
            <v>5369.4787549585189</v>
          </cell>
          <cell r="D22">
            <v>153.6289622741694</v>
          </cell>
          <cell r="E22">
            <v>17.50076810019592</v>
          </cell>
          <cell r="F22">
            <v>91.139286343937755</v>
          </cell>
          <cell r="G22">
            <v>7.5363864262469153</v>
          </cell>
          <cell r="H22">
            <v>0.9706920577803857</v>
          </cell>
          <cell r="I22">
            <v>4.8128050256283214E-3</v>
          </cell>
          <cell r="J22">
            <v>0.96903507164782776</v>
          </cell>
          <cell r="K22">
            <v>5.0849070765472074E-3</v>
          </cell>
        </row>
        <row r="23">
          <cell r="A23" t="str">
            <v>Target_Wastage_X_PAO (mg/L)</v>
          </cell>
          <cell r="B23">
            <v>193.4436621738665</v>
          </cell>
          <cell r="C23">
            <v>415.07232333664848</v>
          </cell>
          <cell r="D23">
            <v>10.554930842376059</v>
          </cell>
          <cell r="E23">
            <v>9.5473729421312026</v>
          </cell>
          <cell r="F23">
            <v>4.4384908655006949</v>
          </cell>
          <cell r="G23">
            <v>1.306966572604316</v>
          </cell>
          <cell r="H23">
            <v>0.88731331768874644</v>
          </cell>
          <cell r="I23">
            <v>0.1681261428571168</v>
          </cell>
          <cell r="J23">
            <v>0.88094233918351639</v>
          </cell>
          <cell r="K23">
            <v>0.17763150782430359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735.92057688545503</v>
          </cell>
          <cell r="C4">
            <v>87.305740062776991</v>
          </cell>
          <cell r="D4">
            <v>27.08630256223541</v>
          </cell>
          <cell r="E4">
            <v>1.5821189702751639</v>
          </cell>
          <cell r="F4">
            <v>13.132738385053941</v>
          </cell>
          <cell r="G4">
            <v>0.43101572299591651</v>
          </cell>
          <cell r="H4">
            <v>0.97805849184720484</v>
          </cell>
          <cell r="I4">
            <v>2.5803330838908528E-3</v>
          </cell>
          <cell r="J4">
            <v>0.97782176620293981</v>
          </cell>
          <cell r="K4">
            <v>2.6081721461580351E-3</v>
          </cell>
        </row>
        <row r="5">
          <cell r="A5" t="str">
            <v>Target_Effluent_COD (mg/L)</v>
          </cell>
          <cell r="B5">
            <v>30976.439082161141</v>
          </cell>
          <cell r="C5">
            <v>3136.5823499858761</v>
          </cell>
          <cell r="D5">
            <v>175.80910246844829</v>
          </cell>
          <cell r="E5">
            <v>8.6665750892468942</v>
          </cell>
          <cell r="F5">
            <v>94.681078084863486</v>
          </cell>
          <cell r="G5">
            <v>4.7463950200640426</v>
          </cell>
          <cell r="H5">
            <v>0.9940634732957605</v>
          </cell>
          <cell r="I5">
            <v>5.9534125329703611E-4</v>
          </cell>
          <cell r="J5">
            <v>0.99399942445741396</v>
          </cell>
          <cell r="K5">
            <v>6.0176435515327362E-4</v>
          </cell>
        </row>
        <row r="6">
          <cell r="A6" t="str">
            <v>Target_Effluent_TKN (mg/L)</v>
          </cell>
          <cell r="B6">
            <v>35.292588049152492</v>
          </cell>
          <cell r="C6">
            <v>4.2486668461692876</v>
          </cell>
          <cell r="D6">
            <v>5.9312943758333478</v>
          </cell>
          <cell r="E6">
            <v>0.35329414304699458</v>
          </cell>
          <cell r="F6">
            <v>3.5034834414863671</v>
          </cell>
          <cell r="G6">
            <v>0.1706668555541887</v>
          </cell>
          <cell r="H6">
            <v>0.98638723786002491</v>
          </cell>
          <cell r="I6">
            <v>1.5023176965929621E-3</v>
          </cell>
          <cell r="J6">
            <v>0.9862403705678876</v>
          </cell>
          <cell r="K6">
            <v>1.5185261140882461E-3</v>
          </cell>
        </row>
        <row r="7">
          <cell r="A7" t="str">
            <v>Target_Effluent_TN (mg/L)</v>
          </cell>
          <cell r="B7">
            <v>32.243971298276037</v>
          </cell>
          <cell r="C7">
            <v>5.7471537342123069</v>
          </cell>
          <cell r="D7">
            <v>5.6583688887051302</v>
          </cell>
          <cell r="E7">
            <v>0.5020323336310295</v>
          </cell>
          <cell r="F7">
            <v>3.08849566836584</v>
          </cell>
          <cell r="G7">
            <v>0.20745061201730469</v>
          </cell>
          <cell r="H7">
            <v>0.98877149530323794</v>
          </cell>
          <cell r="I7">
            <v>2.05355300320643E-3</v>
          </cell>
          <cell r="J7">
            <v>0.98865035162478332</v>
          </cell>
          <cell r="K7">
            <v>2.075708666086605E-3</v>
          </cell>
        </row>
        <row r="8">
          <cell r="A8" t="str">
            <v>Target_Effluent_TP (mg/L)</v>
          </cell>
          <cell r="B8">
            <v>24.699675341455389</v>
          </cell>
          <cell r="C8">
            <v>12.71930381765134</v>
          </cell>
          <cell r="D8">
            <v>4.8459447406070497</v>
          </cell>
          <cell r="E8">
            <v>1.162609570672928</v>
          </cell>
          <cell r="F8">
            <v>2.0853418328779991</v>
          </cell>
          <cell r="G8">
            <v>0.16127702067939631</v>
          </cell>
          <cell r="H8">
            <v>0.98714126200291952</v>
          </cell>
          <cell r="I8">
            <v>6.4990529054346231E-3</v>
          </cell>
          <cell r="J8">
            <v>0.98700252983302528</v>
          </cell>
          <cell r="K8">
            <v>6.5691708059652902E-3</v>
          </cell>
        </row>
        <row r="9">
          <cell r="A9" t="str">
            <v>Target_Effluent_TSS (mg/L)</v>
          </cell>
          <cell r="B9">
            <v>19920.949921738211</v>
          </cell>
          <cell r="C9">
            <v>2468.559407419064</v>
          </cell>
          <cell r="D9">
            <v>140.9138636932137</v>
          </cell>
          <cell r="E9">
            <v>8.4480728103836977</v>
          </cell>
          <cell r="F9">
            <v>76.055000284688447</v>
          </cell>
          <cell r="G9">
            <v>4.6522804286711246</v>
          </cell>
          <cell r="H9">
            <v>0.99392727456080254</v>
          </cell>
          <cell r="I9">
            <v>7.4075217567688429E-4</v>
          </cell>
          <cell r="J9">
            <v>0.99386175628229478</v>
          </cell>
          <cell r="K9">
            <v>7.4874410744407401E-4</v>
          </cell>
        </row>
        <row r="10">
          <cell r="A10" t="str">
            <v>Target_Effluent_VSS (mg/L)</v>
          </cell>
          <cell r="B10">
            <v>13654.08445174472</v>
          </cell>
          <cell r="C10">
            <v>1409.2719395017889</v>
          </cell>
          <cell r="D10">
            <v>116.7195910206423</v>
          </cell>
          <cell r="E10">
            <v>5.8330022495289198</v>
          </cell>
          <cell r="F10">
            <v>62.852908511554347</v>
          </cell>
          <cell r="G10">
            <v>2.3964204446912931</v>
          </cell>
          <cell r="H10">
            <v>0.99393455327080071</v>
          </cell>
          <cell r="I10">
            <v>6.1824264148512931E-4</v>
          </cell>
          <cell r="J10">
            <v>0.99386911352186791</v>
          </cell>
          <cell r="K10">
            <v>6.2491282507497485E-4</v>
          </cell>
        </row>
        <row r="11">
          <cell r="A11" t="str">
            <v>Target_Effluent_X_AUT (mg/L)</v>
          </cell>
          <cell r="B11">
            <v>18.843557639535899</v>
          </cell>
          <cell r="C11">
            <v>3.8937224806637749</v>
          </cell>
          <cell r="D11">
            <v>4.3205855639644088</v>
          </cell>
          <cell r="E11">
            <v>0.44233976885327569</v>
          </cell>
          <cell r="F11">
            <v>2.1355449609510471</v>
          </cell>
          <cell r="G11">
            <v>0.16042740288242091</v>
          </cell>
          <cell r="H11">
            <v>0.96335555414100349</v>
          </cell>
          <cell r="I11">
            <v>7.2880949001843656E-3</v>
          </cell>
          <cell r="J11">
            <v>0.96296019936437227</v>
          </cell>
          <cell r="K11">
            <v>7.3667257285072868E-3</v>
          </cell>
        </row>
        <row r="12">
          <cell r="A12" t="str">
            <v>Target_Effluent_X_H (mg/L)</v>
          </cell>
          <cell r="B12">
            <v>1949.3465906731569</v>
          </cell>
          <cell r="C12">
            <v>259.225028583599</v>
          </cell>
          <cell r="D12">
            <v>44.065958972816063</v>
          </cell>
          <cell r="E12">
            <v>2.8940265066836788</v>
          </cell>
          <cell r="F12">
            <v>21.399564670891099</v>
          </cell>
          <cell r="G12">
            <v>0.98077543647225163</v>
          </cell>
          <cell r="H12">
            <v>0.97587614314177029</v>
          </cell>
          <cell r="I12">
            <v>3.208301620885182E-3</v>
          </cell>
          <cell r="J12">
            <v>0.97561587226534974</v>
          </cell>
          <cell r="K12">
            <v>3.2429157988583131E-3</v>
          </cell>
        </row>
        <row r="13">
          <cell r="A13" t="str">
            <v>Target_Effluent_X_PAO (mg/L)</v>
          </cell>
          <cell r="B13">
            <v>13.58090612092931</v>
          </cell>
          <cell r="C13">
            <v>19.301014354773681</v>
          </cell>
          <cell r="D13">
            <v>3.26763285211327</v>
          </cell>
          <cell r="E13">
            <v>1.796132160665558</v>
          </cell>
          <cell r="F13">
            <v>1.3550919312016969</v>
          </cell>
          <cell r="G13">
            <v>9.5134028491922235E-2</v>
          </cell>
          <cell r="H13">
            <v>0.937994718047093</v>
          </cell>
          <cell r="I13">
            <v>7.5112945907160195E-2</v>
          </cell>
          <cell r="J13">
            <v>0.9373257466976348</v>
          </cell>
          <cell r="K13">
            <v>7.592333507406146E-2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scaled_log_cal_data"/>
      <sheetName val="validation_data"/>
      <sheetName val="validation_statistics"/>
      <sheetName val="validation_prediction"/>
      <sheetName val="scaled_log_val_data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962.72338494581277</v>
          </cell>
          <cell r="C4">
            <v>146.71051952012101</v>
          </cell>
          <cell r="D4">
            <v>30.944180973159419</v>
          </cell>
          <cell r="E4">
            <v>2.3993167652876068</v>
          </cell>
          <cell r="F4">
            <v>17.150044639670011</v>
          </cell>
          <cell r="G4">
            <v>1.657139754118486</v>
          </cell>
          <cell r="H4">
            <v>0.97129691347941127</v>
          </cell>
          <cell r="I4">
            <v>4.3587289508704424E-3</v>
          </cell>
          <cell r="J4">
            <v>0.96781905258462042</v>
          </cell>
          <cell r="K4">
            <v>4.8868621520978279E-3</v>
          </cell>
        </row>
        <row r="5">
          <cell r="A5" t="str">
            <v>Target_Effluent_COD (mg/L)</v>
          </cell>
          <cell r="B5">
            <v>64708.032709101033</v>
          </cell>
          <cell r="C5">
            <v>12545.797223333209</v>
          </cell>
          <cell r="D5">
            <v>253.2591600967647</v>
          </cell>
          <cell r="E5">
            <v>25.118177043336491</v>
          </cell>
          <cell r="F5">
            <v>134.04968749468259</v>
          </cell>
          <cell r="G5">
            <v>14.31919163590163</v>
          </cell>
          <cell r="H5">
            <v>0.98762663726750155</v>
          </cell>
          <cell r="I5">
            <v>2.2496061234430998E-3</v>
          </cell>
          <cell r="J5">
            <v>0.98612739660731852</v>
          </cell>
          <cell r="K5">
            <v>2.5221836791631791E-3</v>
          </cell>
        </row>
        <row r="6">
          <cell r="A6" t="str">
            <v>Target_Effluent_TKN (mg/L)</v>
          </cell>
          <cell r="B6">
            <v>53.119046056546949</v>
          </cell>
          <cell r="C6">
            <v>7.2926315713730254</v>
          </cell>
          <cell r="D6">
            <v>7.2729278430293194</v>
          </cell>
          <cell r="E6">
            <v>0.49840484061747292</v>
          </cell>
          <cell r="F6">
            <v>4.3095973539480976</v>
          </cell>
          <cell r="G6">
            <v>0.19010366993804981</v>
          </cell>
          <cell r="H6">
            <v>0.97951822959540669</v>
          </cell>
          <cell r="I6">
            <v>2.593031267357358E-3</v>
          </cell>
          <cell r="J6">
            <v>0.97703651919485013</v>
          </cell>
          <cell r="K6">
            <v>2.9072205458255162E-3</v>
          </cell>
        </row>
        <row r="7">
          <cell r="A7" t="str">
            <v>Target_Effluent_TN (mg/L)</v>
          </cell>
          <cell r="B7">
            <v>66.767106828185774</v>
          </cell>
          <cell r="C7">
            <v>10.991142620367</v>
          </cell>
          <cell r="D7">
            <v>8.1452206072788211</v>
          </cell>
          <cell r="E7">
            <v>0.68515050004945133</v>
          </cell>
          <cell r="F7">
            <v>4.8358239180796234</v>
          </cell>
          <cell r="G7">
            <v>0.38240354276016958</v>
          </cell>
          <cell r="H7">
            <v>0.97681681154412092</v>
          </cell>
          <cell r="I7">
            <v>3.5137988863928301E-3</v>
          </cell>
          <cell r="J7">
            <v>0.97400777898626578</v>
          </cell>
          <cell r="K7">
            <v>3.9395546228143908E-3</v>
          </cell>
        </row>
        <row r="8">
          <cell r="A8" t="str">
            <v>Target_Effluent_TP (mg/L)</v>
          </cell>
          <cell r="B8">
            <v>41.593291617536771</v>
          </cell>
          <cell r="C8">
            <v>11.14861662611561</v>
          </cell>
          <cell r="D8">
            <v>6.3983187171746936</v>
          </cell>
          <cell r="E8">
            <v>0.85297467136339133</v>
          </cell>
          <cell r="F8">
            <v>3.2788413403611671</v>
          </cell>
          <cell r="G8">
            <v>0.27211698558368358</v>
          </cell>
          <cell r="H8">
            <v>0.97834617893033271</v>
          </cell>
          <cell r="I8">
            <v>5.5233911493050474E-3</v>
          </cell>
          <cell r="J8">
            <v>0.97572245491142018</v>
          </cell>
          <cell r="K8">
            <v>6.19264273209296E-3</v>
          </cell>
        </row>
        <row r="9">
          <cell r="A9" t="str">
            <v>Target_Effluent_TSS (mg/L)</v>
          </cell>
          <cell r="B9">
            <v>38408.638081875033</v>
          </cell>
          <cell r="C9">
            <v>7867.5958369098344</v>
          </cell>
          <cell r="D9">
            <v>195.03099313817941</v>
          </cell>
          <cell r="E9">
            <v>20.318294914529702</v>
          </cell>
          <cell r="F9">
            <v>101.4202158344314</v>
          </cell>
          <cell r="G9">
            <v>8.8400977239439271</v>
          </cell>
          <cell r="H9">
            <v>0.98832691121219174</v>
          </cell>
          <cell r="I9">
            <v>2.2095885586292641E-3</v>
          </cell>
          <cell r="J9">
            <v>0.98691252049893452</v>
          </cell>
          <cell r="K9">
            <v>2.4773173144242841E-3</v>
          </cell>
        </row>
        <row r="10">
          <cell r="A10" t="str">
            <v>Target_Effluent_VSS (mg/L)</v>
          </cell>
          <cell r="B10">
            <v>26795.259158398021</v>
          </cell>
          <cell r="C10">
            <v>4623.3969515009239</v>
          </cell>
          <cell r="D10">
            <v>163.13624957130099</v>
          </cell>
          <cell r="E10">
            <v>14.2135785707507</v>
          </cell>
          <cell r="F10">
            <v>85.693587501258619</v>
          </cell>
          <cell r="G10">
            <v>5.5047191833901312</v>
          </cell>
          <cell r="H10">
            <v>0.98812308431065432</v>
          </cell>
          <cell r="I10">
            <v>1.884205760557182E-3</v>
          </cell>
          <cell r="J10">
            <v>0.98668399654575245</v>
          </cell>
          <cell r="K10">
            <v>2.112508926757762E-3</v>
          </cell>
        </row>
        <row r="11">
          <cell r="A11" t="str">
            <v>Target_Effluent_X_AUT (mg/L)</v>
          </cell>
          <cell r="B11">
            <v>21.753940825040381</v>
          </cell>
          <cell r="C11">
            <v>4.2105785476715631</v>
          </cell>
          <cell r="D11">
            <v>4.6449506363662332</v>
          </cell>
          <cell r="E11">
            <v>0.4451896109915271</v>
          </cell>
          <cell r="F11">
            <v>2.6186418492698609</v>
          </cell>
          <cell r="G11">
            <v>0.18171130391832321</v>
          </cell>
          <cell r="H11">
            <v>0.95767144488170575</v>
          </cell>
          <cell r="I11">
            <v>8.1060427362897557E-3</v>
          </cell>
          <cell r="J11">
            <v>0.95254262967664682</v>
          </cell>
          <cell r="K11">
            <v>9.0882259249800267E-3</v>
          </cell>
        </row>
        <row r="12">
          <cell r="A12" t="str">
            <v>Target_Effluent_X_H (mg/L)</v>
          </cell>
          <cell r="B12">
            <v>2912.0246309197159</v>
          </cell>
          <cell r="C12">
            <v>526.04350874861836</v>
          </cell>
          <cell r="D12">
            <v>53.759188677095302</v>
          </cell>
          <cell r="E12">
            <v>4.9412395768430972</v>
          </cell>
          <cell r="F12">
            <v>30.367001520062178</v>
          </cell>
          <cell r="G12">
            <v>2.986213053260157</v>
          </cell>
          <cell r="H12">
            <v>0.96400246932744493</v>
          </cell>
          <cell r="I12">
            <v>6.2258607107639188E-3</v>
          </cell>
          <cell r="J12">
            <v>0.95964076404026921</v>
          </cell>
          <cell r="K12">
            <v>6.9802282763164799E-3</v>
          </cell>
        </row>
        <row r="13">
          <cell r="A13" t="str">
            <v>Target_Effluent_X_PAO (mg/L)</v>
          </cell>
          <cell r="B13">
            <v>18.440734701693899</v>
          </cell>
          <cell r="C13">
            <v>19.814733543109661</v>
          </cell>
          <cell r="D13">
            <v>3.9972262063030901</v>
          </cell>
          <cell r="E13">
            <v>1.6542596052271681</v>
          </cell>
          <cell r="F13">
            <v>2.107858631378861</v>
          </cell>
          <cell r="G13">
            <v>0.14599898961037841</v>
          </cell>
          <cell r="H13">
            <v>0.91470639563154421</v>
          </cell>
          <cell r="I13">
            <v>7.548193980796529E-2</v>
          </cell>
          <cell r="J13">
            <v>0.90437164326977171</v>
          </cell>
          <cell r="K13">
            <v>8.4627844257397181E-2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7934.7493282410887</v>
          </cell>
          <cell r="C4">
            <v>394.17956991643229</v>
          </cell>
          <cell r="D4">
            <v>89.051892198826778</v>
          </cell>
          <cell r="E4">
            <v>2.2385074515603911</v>
          </cell>
          <cell r="F4">
            <v>66.267089278991634</v>
          </cell>
          <cell r="G4">
            <v>1.8325312516880059</v>
          </cell>
          <cell r="H4">
            <v>0.7632980651291289</v>
          </cell>
          <cell r="I4">
            <v>1.356141267734162E-2</v>
          </cell>
          <cell r="J4">
            <v>0.76074430183989494</v>
          </cell>
          <cell r="K4">
            <v>1.3707725963138941E-2</v>
          </cell>
        </row>
        <row r="5">
          <cell r="A5" t="str">
            <v>Target_Effluent_COD (mg/L)</v>
          </cell>
          <cell r="B5">
            <v>1183360.3684565241</v>
          </cell>
          <cell r="C5">
            <v>70904.019484626886</v>
          </cell>
          <cell r="D5">
            <v>1087.3892694798869</v>
          </cell>
          <cell r="E5">
            <v>32.402761825372011</v>
          </cell>
          <cell r="F5">
            <v>796.35710475799522</v>
          </cell>
          <cell r="G5">
            <v>16.601860246403579</v>
          </cell>
          <cell r="H5">
            <v>0.77318979045911029</v>
          </cell>
          <cell r="I5">
            <v>1.389827191414432E-2</v>
          </cell>
          <cell r="J5">
            <v>0.7707427484141649</v>
          </cell>
          <cell r="K5">
            <v>1.404821955448571E-2</v>
          </cell>
        </row>
        <row r="6">
          <cell r="A6" t="str">
            <v>Target_Effluent_TKN (mg/L)</v>
          </cell>
          <cell r="B6">
            <v>661.84137712966105</v>
          </cell>
          <cell r="C6">
            <v>37.360507493917623</v>
          </cell>
          <cell r="D6">
            <v>25.717261345260599</v>
          </cell>
          <cell r="E6">
            <v>0.71790283250427878</v>
          </cell>
          <cell r="F6">
            <v>19.760944160685899</v>
          </cell>
          <cell r="G6">
            <v>0.5476288320969066</v>
          </cell>
          <cell r="H6">
            <v>0.74442466460612589</v>
          </cell>
          <cell r="I6">
            <v>1.5108844815227521E-2</v>
          </cell>
          <cell r="J6">
            <v>0.7416672773058548</v>
          </cell>
          <cell r="K6">
            <v>1.52718532555806E-2</v>
          </cell>
        </row>
        <row r="7">
          <cell r="A7" t="str">
            <v>Target_Effluent_TN (mg/L)</v>
          </cell>
          <cell r="B7">
            <v>644.90385628189256</v>
          </cell>
          <cell r="C7">
            <v>37.176471375787592</v>
          </cell>
          <cell r="D7">
            <v>25.38558556575672</v>
          </cell>
          <cell r="E7">
            <v>0.7271724276161643</v>
          </cell>
          <cell r="F7">
            <v>19.388175566316399</v>
          </cell>
          <cell r="G7">
            <v>0.53441637852839974</v>
          </cell>
          <cell r="H7">
            <v>0.77560644961508651</v>
          </cell>
          <cell r="I7">
            <v>1.271225006312381E-2</v>
          </cell>
          <cell r="J7">
            <v>0.77318548076400173</v>
          </cell>
          <cell r="K7">
            <v>1.284940178329237E-2</v>
          </cell>
        </row>
        <row r="8">
          <cell r="A8" t="str">
            <v>Target_Effluent_TP (mg/L)</v>
          </cell>
          <cell r="B8">
            <v>399.70452991362441</v>
          </cell>
          <cell r="C8">
            <v>24.075124382848799</v>
          </cell>
          <cell r="D8">
            <v>19.98442373544604</v>
          </cell>
          <cell r="E8">
            <v>0.6030827064759785</v>
          </cell>
          <cell r="F8">
            <v>14.797134690971269</v>
          </cell>
          <cell r="G8">
            <v>0.30616644055355963</v>
          </cell>
          <cell r="H8">
            <v>0.79118606142385262</v>
          </cell>
          <cell r="I8">
            <v>1.261841166362236E-2</v>
          </cell>
          <cell r="J8">
            <v>0.78893318009059676</v>
          </cell>
          <cell r="K8">
            <v>1.275455096680372E-2</v>
          </cell>
        </row>
        <row r="9">
          <cell r="A9" t="str">
            <v>Target_Effluent_TSS (mg/L)</v>
          </cell>
          <cell r="B9">
            <v>754982.27119870181</v>
          </cell>
          <cell r="C9">
            <v>45137.663552409111</v>
          </cell>
          <cell r="D9">
            <v>868.55150941509726</v>
          </cell>
          <cell r="E9">
            <v>25.831649223770341</v>
          </cell>
          <cell r="F9">
            <v>636.8897280546928</v>
          </cell>
          <cell r="G9">
            <v>13.256285183460751</v>
          </cell>
          <cell r="H9">
            <v>0.76979856858825912</v>
          </cell>
          <cell r="I9">
            <v>1.429270390015362E-2</v>
          </cell>
          <cell r="J9">
            <v>0.76731493884949453</v>
          </cell>
          <cell r="K9">
            <v>1.4446907044052741E-2</v>
          </cell>
        </row>
        <row r="10">
          <cell r="A10" t="str">
            <v>Target_Effluent_VSS (mg/L)</v>
          </cell>
          <cell r="B10">
            <v>519614.61519735568</v>
          </cell>
          <cell r="C10">
            <v>31345.022700168211</v>
          </cell>
          <cell r="D10">
            <v>720.55137161321579</v>
          </cell>
          <cell r="E10">
            <v>21.611109891520289</v>
          </cell>
          <cell r="F10">
            <v>528.6848775289418</v>
          </cell>
          <cell r="G10">
            <v>11.37857228706009</v>
          </cell>
          <cell r="H10">
            <v>0.76914343260405493</v>
          </cell>
          <cell r="I10">
            <v>1.430815490778045E-2</v>
          </cell>
          <cell r="J10">
            <v>0.76665273464159023</v>
          </cell>
          <cell r="K10">
            <v>1.446252475169447E-2</v>
          </cell>
        </row>
        <row r="11">
          <cell r="A11" t="str">
            <v>Target_Effluent_X_AUT (mg/L)</v>
          </cell>
          <cell r="B11">
            <v>165.80624044120009</v>
          </cell>
          <cell r="C11">
            <v>9.1595680408626166</v>
          </cell>
          <cell r="D11">
            <v>12.872220880113391</v>
          </cell>
          <cell r="E11">
            <v>0.35303455098933129</v>
          </cell>
          <cell r="F11">
            <v>9.8502214323810939</v>
          </cell>
          <cell r="G11">
            <v>0.27782973667740168</v>
          </cell>
          <cell r="H11">
            <v>0.67709279739504813</v>
          </cell>
          <cell r="I11">
            <v>1.91475470544216E-2</v>
          </cell>
          <cell r="J11">
            <v>0.6736089705294519</v>
          </cell>
          <cell r="K11">
            <v>1.9354128816303419E-2</v>
          </cell>
        </row>
        <row r="12">
          <cell r="A12" t="str">
            <v>Target_Effluent_X_H (mg/L)</v>
          </cell>
          <cell r="B12">
            <v>19860.736131497</v>
          </cell>
          <cell r="C12">
            <v>1120.264104433382</v>
          </cell>
          <cell r="D12">
            <v>140.87625275093001</v>
          </cell>
          <cell r="E12">
            <v>4.0301009572554038</v>
          </cell>
          <cell r="F12">
            <v>104.5992897537856</v>
          </cell>
          <cell r="G12">
            <v>3.2918289317562208</v>
          </cell>
          <cell r="H12">
            <v>0.75414876961676491</v>
          </cell>
          <cell r="I12">
            <v>1.4802234227624649E-2</v>
          </cell>
          <cell r="J12">
            <v>0.75149629511499039</v>
          </cell>
          <cell r="K12">
            <v>1.4961934664335321E-2</v>
          </cell>
        </row>
        <row r="13">
          <cell r="A13" t="str">
            <v>Target_Effluent_X_PAO (mg/L)</v>
          </cell>
          <cell r="B13">
            <v>72.231035134943625</v>
          </cell>
          <cell r="C13">
            <v>22.473534107664261</v>
          </cell>
          <cell r="D13">
            <v>8.4232142680646849</v>
          </cell>
          <cell r="E13">
            <v>1.192800872463694</v>
          </cell>
          <cell r="F13">
            <v>6.0326449422662618</v>
          </cell>
          <cell r="G13">
            <v>0.21299250945092249</v>
          </cell>
          <cell r="H13">
            <v>0.65356835416866677</v>
          </cell>
          <cell r="I13">
            <v>6.9846706836467862E-2</v>
          </cell>
          <cell r="J13">
            <v>0.64983072346515947</v>
          </cell>
          <cell r="K13">
            <v>7.0600278858978613E-2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8615.3831098598275</v>
          </cell>
          <cell r="C4">
            <v>4209.0870106495477</v>
          </cell>
          <cell r="D4">
            <v>91.079119688563196</v>
          </cell>
          <cell r="E4">
            <v>18.855505138235049</v>
          </cell>
          <cell r="F4">
            <v>59.621639953566081</v>
          </cell>
          <cell r="G4">
            <v>1.219306272280561</v>
          </cell>
          <cell r="H4">
            <v>0.74316762240935574</v>
          </cell>
          <cell r="I4">
            <v>0.12427639947381799</v>
          </cell>
          <cell r="J4">
            <v>0.7403966729545679</v>
          </cell>
          <cell r="K4">
            <v>0.12561721025708239</v>
          </cell>
        </row>
        <row r="5">
          <cell r="A5" t="str">
            <v>Target_Effluent_COD (mg/L)</v>
          </cell>
          <cell r="B5">
            <v>1117686.600646205</v>
          </cell>
          <cell r="C5">
            <v>73315.574044169334</v>
          </cell>
          <cell r="D5">
            <v>1056.6783085387649</v>
          </cell>
          <cell r="E5">
            <v>35.238125026727353</v>
          </cell>
          <cell r="F5">
            <v>700.91976451633514</v>
          </cell>
          <cell r="G5">
            <v>19.57892854081669</v>
          </cell>
          <cell r="H5">
            <v>0.78580242236502396</v>
          </cell>
          <cell r="I5">
            <v>1.401541950089291E-2</v>
          </cell>
          <cell r="J5">
            <v>0.78349145726579295</v>
          </cell>
          <cell r="K5">
            <v>1.41666310396753E-2</v>
          </cell>
        </row>
        <row r="6">
          <cell r="A6" t="str">
            <v>Target_Effluent_TKN (mg/L)</v>
          </cell>
          <cell r="B6">
            <v>508.30228821980199</v>
          </cell>
          <cell r="C6">
            <v>34.772596622379233</v>
          </cell>
          <cell r="D6">
            <v>22.53364141037936</v>
          </cell>
          <cell r="E6">
            <v>0.77265272365790028</v>
          </cell>
          <cell r="F6">
            <v>14.84620504220767</v>
          </cell>
          <cell r="G6">
            <v>0.43461065212715588</v>
          </cell>
          <cell r="H6">
            <v>0.80380363202236749</v>
          </cell>
          <cell r="I6">
            <v>1.241866667548483E-2</v>
          </cell>
          <cell r="J6">
            <v>0.80168688091809093</v>
          </cell>
          <cell r="K6">
            <v>1.255265094170718E-2</v>
          </cell>
        </row>
        <row r="7">
          <cell r="A7" t="str">
            <v>Target_Effluent_TN (mg/L)</v>
          </cell>
          <cell r="B7">
            <v>528.91572227812367</v>
          </cell>
          <cell r="C7">
            <v>50.79896753997415</v>
          </cell>
          <cell r="D7">
            <v>22.97269723083264</v>
          </cell>
          <cell r="E7">
            <v>1.140615924557242</v>
          </cell>
          <cell r="F7">
            <v>14.60680551564205</v>
          </cell>
          <cell r="G7">
            <v>0.4951277155711114</v>
          </cell>
          <cell r="H7">
            <v>0.81602733123821436</v>
          </cell>
          <cell r="I7">
            <v>1.6959519627285091E-2</v>
          </cell>
          <cell r="J7">
            <v>0.81404246090767585</v>
          </cell>
          <cell r="K7">
            <v>1.7142494889615889E-2</v>
          </cell>
        </row>
        <row r="8">
          <cell r="A8" t="str">
            <v>Target_Effluent_TP (mg/L)</v>
          </cell>
          <cell r="B8">
            <v>346.5545273906867</v>
          </cell>
          <cell r="C8">
            <v>35.316258361087968</v>
          </cell>
          <cell r="D8">
            <v>18.59344048879899</v>
          </cell>
          <cell r="E8">
            <v>0.9652277682708319</v>
          </cell>
          <cell r="F8">
            <v>11.395506900490069</v>
          </cell>
          <cell r="G8">
            <v>0.40836247687881427</v>
          </cell>
          <cell r="H8">
            <v>0.81903569214414307</v>
          </cell>
          <cell r="I8">
            <v>1.762107638084532E-2</v>
          </cell>
          <cell r="J8">
            <v>0.81708327884293352</v>
          </cell>
          <cell r="K8">
            <v>1.7811189140180091E-2</v>
          </cell>
        </row>
        <row r="9">
          <cell r="A9" t="str">
            <v>Target_Effluent_TSS (mg/L)</v>
          </cell>
          <cell r="B9">
            <v>721630.19397547096</v>
          </cell>
          <cell r="C9">
            <v>46028.90771176383</v>
          </cell>
          <cell r="D9">
            <v>849.08797320617145</v>
          </cell>
          <cell r="E9">
            <v>27.483484578257421</v>
          </cell>
          <cell r="F9">
            <v>566.7487687719904</v>
          </cell>
          <cell r="G9">
            <v>15.56804580443001</v>
          </cell>
          <cell r="H9">
            <v>0.78002098028114164</v>
          </cell>
          <cell r="I9">
            <v>1.372520111292071E-2</v>
          </cell>
          <cell r="J9">
            <v>0.77764763954243521</v>
          </cell>
          <cell r="K9">
            <v>1.3873281502540909E-2</v>
          </cell>
        </row>
        <row r="10">
          <cell r="A10" t="str">
            <v>Target_Effluent_VSS (mg/L)</v>
          </cell>
          <cell r="B10">
            <v>495365.8232465632</v>
          </cell>
          <cell r="C10">
            <v>31967.078635925769</v>
          </cell>
          <cell r="D10">
            <v>703.48160587107782</v>
          </cell>
          <cell r="E10">
            <v>23.080859015709599</v>
          </cell>
          <cell r="F10">
            <v>470.39066501964788</v>
          </cell>
          <cell r="G10">
            <v>13.042660847615069</v>
          </cell>
          <cell r="H10">
            <v>0.7799576632959434</v>
          </cell>
          <cell r="I10">
            <v>1.397822607610349E-2</v>
          </cell>
          <cell r="J10">
            <v>0.77758363943399811</v>
          </cell>
          <cell r="K10">
            <v>1.412903633720783E-2</v>
          </cell>
        </row>
        <row r="11">
          <cell r="A11" t="str">
            <v>Target_Effluent_X_AUT (mg/L)</v>
          </cell>
          <cell r="B11">
            <v>155.7665452568429</v>
          </cell>
          <cell r="C11">
            <v>6.8062497067127143</v>
          </cell>
          <cell r="D11">
            <v>12.47795850696842</v>
          </cell>
          <cell r="E11">
            <v>0.27304203017409218</v>
          </cell>
          <cell r="F11">
            <v>8.5967177403760893</v>
          </cell>
          <cell r="G11">
            <v>0.16252005854090859</v>
          </cell>
          <cell r="H11">
            <v>0.69672258122334507</v>
          </cell>
          <cell r="I11">
            <v>1.347629815680779E-2</v>
          </cell>
          <cell r="J11">
            <v>0.69345053894389364</v>
          </cell>
          <cell r="K11">
            <v>1.362169314703632E-2</v>
          </cell>
        </row>
        <row r="12">
          <cell r="A12" t="str">
            <v>Target_Effluent_X_H (mg/L)</v>
          </cell>
          <cell r="B12">
            <v>19230.407512134669</v>
          </cell>
          <cell r="C12">
            <v>5004.8173069249588</v>
          </cell>
          <cell r="D12">
            <v>137.8310468608781</v>
          </cell>
          <cell r="E12">
            <v>16.0903709427959</v>
          </cell>
          <cell r="F12">
            <v>93.856616005521033</v>
          </cell>
          <cell r="G12">
            <v>1.4891361695390279</v>
          </cell>
          <cell r="H12">
            <v>0.76191268107287247</v>
          </cell>
          <cell r="I12">
            <v>6.2107918270579487E-2</v>
          </cell>
          <cell r="J12">
            <v>0.75934397095632888</v>
          </cell>
          <cell r="K12">
            <v>6.2777996957247936E-2</v>
          </cell>
        </row>
        <row r="13">
          <cell r="A13" t="str">
            <v>Target_Effluent_X_PAO (mg/L)</v>
          </cell>
          <cell r="B13">
            <v>30320.05839056629</v>
          </cell>
          <cell r="C13">
            <v>74046.896688987414</v>
          </cell>
          <cell r="D13">
            <v>90.071621204103124</v>
          </cell>
          <cell r="E13">
            <v>157.08158334739039</v>
          </cell>
          <cell r="F13">
            <v>7.6939246680103111</v>
          </cell>
          <cell r="G13">
            <v>5.4742050716876092</v>
          </cell>
          <cell r="H13">
            <v>-102.2298507404164</v>
          </cell>
          <cell r="I13">
            <v>236.1194428617157</v>
          </cell>
          <cell r="J13">
            <v>-103.34359154408919</v>
          </cell>
          <cell r="K13">
            <v>238.6669216788346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1599.1824928022429</v>
          </cell>
          <cell r="C4">
            <v>152.80901939502201</v>
          </cell>
          <cell r="D4">
            <v>39.9496512216894</v>
          </cell>
          <cell r="E4">
            <v>1.8879324574822069</v>
          </cell>
          <cell r="F4">
            <v>26.428694875181179</v>
          </cell>
          <cell r="G4">
            <v>0.9335804494136839</v>
          </cell>
          <cell r="H4">
            <v>0.95232153357469895</v>
          </cell>
          <cell r="I4">
            <v>4.470834796347827E-3</v>
          </cell>
          <cell r="J4">
            <v>0.95180713339748735</v>
          </cell>
          <cell r="K4">
            <v>4.5190703706847321E-3</v>
          </cell>
        </row>
        <row r="5">
          <cell r="A5" t="str">
            <v>Target_Effluent_COD (mg/L)</v>
          </cell>
          <cell r="B5">
            <v>225030.4319006424</v>
          </cell>
          <cell r="C5">
            <v>24446.506011851168</v>
          </cell>
          <cell r="D5">
            <v>473.75286196233088</v>
          </cell>
          <cell r="E5">
            <v>25.57467677960345</v>
          </cell>
          <cell r="F5">
            <v>282.41882673106448</v>
          </cell>
          <cell r="G5">
            <v>11.642175753163761</v>
          </cell>
          <cell r="H5">
            <v>0.95690853454632818</v>
          </cell>
          <cell r="I5">
            <v>4.2807987381395509E-3</v>
          </cell>
          <cell r="J5">
            <v>0.95644362325350374</v>
          </cell>
          <cell r="K5">
            <v>4.3269840245928563E-3</v>
          </cell>
        </row>
        <row r="6">
          <cell r="A6" t="str">
            <v>Target_Effluent_TKN (mg/L)</v>
          </cell>
          <cell r="B6">
            <v>138.4043077382284</v>
          </cell>
          <cell r="C6">
            <v>15.09099720205162</v>
          </cell>
          <cell r="D6">
            <v>11.74903607173499</v>
          </cell>
          <cell r="E6">
            <v>0.63636041787873421</v>
          </cell>
          <cell r="F6">
            <v>7.1322225270817343</v>
          </cell>
          <cell r="G6">
            <v>0.27300248520084153</v>
          </cell>
          <cell r="H6">
            <v>0.94664059935473266</v>
          </cell>
          <cell r="I6">
            <v>4.9182409560076072E-3</v>
          </cell>
          <cell r="J6">
            <v>0.94606490791149311</v>
          </cell>
          <cell r="K6">
            <v>4.9713035691540154E-3</v>
          </cell>
        </row>
        <row r="7">
          <cell r="A7" t="str">
            <v>Target_Effluent_TN (mg/L)</v>
          </cell>
          <cell r="B7">
            <v>176.5820741025033</v>
          </cell>
          <cell r="C7">
            <v>13.09873924426268</v>
          </cell>
          <cell r="D7">
            <v>13.28006267567519</v>
          </cell>
          <cell r="E7">
            <v>0.49666603203752241</v>
          </cell>
          <cell r="F7">
            <v>8.5802978500137179</v>
          </cell>
          <cell r="G7">
            <v>0.28184328465527447</v>
          </cell>
          <cell r="H7">
            <v>0.93859661324331412</v>
          </cell>
          <cell r="I7">
            <v>3.9386992333827293E-3</v>
          </cell>
          <cell r="J7">
            <v>0.93793413570581785</v>
          </cell>
          <cell r="K7">
            <v>3.9811936283484081E-3</v>
          </cell>
        </row>
        <row r="8">
          <cell r="A8" t="str">
            <v>Target_Effluent_TP (mg/L)</v>
          </cell>
          <cell r="B8">
            <v>98.035731313146599</v>
          </cell>
          <cell r="C8">
            <v>14.76533094963948</v>
          </cell>
          <cell r="D8">
            <v>9.8764480981655893</v>
          </cell>
          <cell r="E8">
            <v>0.73899652486620249</v>
          </cell>
          <cell r="F8">
            <v>5.6161754864443818</v>
          </cell>
          <cell r="G8">
            <v>0.26097052546612681</v>
          </cell>
          <cell r="H8">
            <v>0.94888608691060361</v>
          </cell>
          <cell r="I8">
            <v>6.9500094080215246E-3</v>
          </cell>
          <cell r="J8">
            <v>0.94833462190087303</v>
          </cell>
          <cell r="K8">
            <v>7.0249926518033013E-3</v>
          </cell>
        </row>
        <row r="9">
          <cell r="A9" t="str">
            <v>Target_Effluent_TSS (mg/L)</v>
          </cell>
          <cell r="B9">
            <v>141798.9956619931</v>
          </cell>
          <cell r="C9">
            <v>15625.32947348834</v>
          </cell>
          <cell r="D9">
            <v>376.05680885157568</v>
          </cell>
          <cell r="E9">
            <v>20.55540421945128</v>
          </cell>
          <cell r="F9">
            <v>223.19034156433759</v>
          </cell>
          <cell r="G9">
            <v>9.3295185322935978</v>
          </cell>
          <cell r="H9">
            <v>0.95681328815974831</v>
          </cell>
          <cell r="I9">
            <v>4.2784834076273993E-3</v>
          </cell>
          <cell r="J9">
            <v>0.95634734925924669</v>
          </cell>
          <cell r="K9">
            <v>4.3246437141156394E-3</v>
          </cell>
        </row>
        <row r="10">
          <cell r="A10" t="str">
            <v>Target_Effluent_VSS (mg/L)</v>
          </cell>
          <cell r="B10">
            <v>97204.080969767063</v>
          </cell>
          <cell r="C10">
            <v>10587.385096967409</v>
          </cell>
          <cell r="D10">
            <v>311.36427321591498</v>
          </cell>
          <cell r="E10">
            <v>16.877675409054671</v>
          </cell>
          <cell r="F10">
            <v>184.74132636534409</v>
          </cell>
          <cell r="G10">
            <v>7.6443001456728146</v>
          </cell>
          <cell r="H10">
            <v>0.9568556565956744</v>
          </cell>
          <cell r="I10">
            <v>4.2829384392328099E-3</v>
          </cell>
          <cell r="J10">
            <v>0.9563901748057424</v>
          </cell>
          <cell r="K10">
            <v>4.3291468107956891E-3</v>
          </cell>
        </row>
        <row r="11">
          <cell r="A11" t="str">
            <v>Target_Effluent_X_AUT (mg/L)</v>
          </cell>
          <cell r="B11">
            <v>37.792191421227002</v>
          </cell>
          <cell r="C11">
            <v>5.2759473888916091</v>
          </cell>
          <cell r="D11">
            <v>6.1338392894184404</v>
          </cell>
          <cell r="E11">
            <v>0.43231546199722493</v>
          </cell>
          <cell r="F11">
            <v>3.9123727052195352</v>
          </cell>
          <cell r="G11">
            <v>0.14006199566722871</v>
          </cell>
          <cell r="H11">
            <v>0.92652211871919621</v>
          </cell>
          <cell r="I11">
            <v>9.3049939537556553E-3</v>
          </cell>
          <cell r="J11">
            <v>0.925729370168628</v>
          </cell>
          <cell r="K11">
            <v>9.4053849876464569E-3</v>
          </cell>
        </row>
        <row r="12">
          <cell r="A12" t="str">
            <v>Target_Effluent_X_H (mg/L)</v>
          </cell>
          <cell r="B12">
            <v>4062.0867441957548</v>
          </cell>
          <cell r="C12">
            <v>361.62108960966128</v>
          </cell>
          <cell r="D12">
            <v>63.678785129262323</v>
          </cell>
          <cell r="E12">
            <v>2.8085323682179242</v>
          </cell>
          <cell r="F12">
            <v>42.251337197343091</v>
          </cell>
          <cell r="G12">
            <v>1.3303159902504149</v>
          </cell>
          <cell r="H12">
            <v>0.94973566897399486</v>
          </cell>
          <cell r="I12">
            <v>4.3839341344149296E-3</v>
          </cell>
          <cell r="J12">
            <v>0.94919337005530569</v>
          </cell>
          <cell r="K12">
            <v>4.4312321426082258E-3</v>
          </cell>
        </row>
        <row r="13">
          <cell r="A13" t="str">
            <v>Target_Effluent_X_PAO (mg/L)</v>
          </cell>
          <cell r="B13">
            <v>36.284938920493722</v>
          </cell>
          <cell r="C13">
            <v>25.36260163967269</v>
          </cell>
          <cell r="D13">
            <v>5.7425840089515621</v>
          </cell>
          <cell r="E13">
            <v>1.917077585118534</v>
          </cell>
          <cell r="F13">
            <v>2.802674601561888</v>
          </cell>
          <cell r="G13">
            <v>0.11524619479490771</v>
          </cell>
          <cell r="H13">
            <v>0.83945472371931906</v>
          </cell>
          <cell r="I13">
            <v>7.7745197662783608E-2</v>
          </cell>
          <cell r="J13">
            <v>0.83772261015189431</v>
          </cell>
          <cell r="K13">
            <v>7.8583986039455572E-2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722.41186291543295</v>
          </cell>
          <cell r="C4">
            <v>87.553781646223655</v>
          </cell>
          <cell r="D4">
            <v>26.833061405266861</v>
          </cell>
          <cell r="E4">
            <v>1.6325435289793571</v>
          </cell>
          <cell r="F4">
            <v>11.09230076602916</v>
          </cell>
          <cell r="G4">
            <v>0.50516851958158182</v>
          </cell>
          <cell r="H4">
            <v>0.97845917492776169</v>
          </cell>
          <cell r="I4">
            <v>2.6028994900336609E-3</v>
          </cell>
          <cell r="J4">
            <v>0.97822677222974685</v>
          </cell>
          <cell r="K4">
            <v>2.6309820199328952E-3</v>
          </cell>
        </row>
        <row r="5">
          <cell r="A5" t="str">
            <v>Target_Effluent_COD (mg/L)</v>
          </cell>
          <cell r="B5">
            <v>37778.30065635014</v>
          </cell>
          <cell r="C5">
            <v>6895.1415870539677</v>
          </cell>
          <cell r="D5">
            <v>193.65530534206971</v>
          </cell>
          <cell r="E5">
            <v>17.509469476698399</v>
          </cell>
          <cell r="F5">
            <v>83.747851018776728</v>
          </cell>
          <cell r="G5">
            <v>3.6217884980788302</v>
          </cell>
          <cell r="H5">
            <v>0.99277180576737689</v>
          </cell>
          <cell r="I5">
            <v>1.2367185199643521E-3</v>
          </cell>
          <cell r="J5">
            <v>0.99269382120384209</v>
          </cell>
          <cell r="K5">
            <v>1.250061403524327E-3</v>
          </cell>
        </row>
        <row r="6">
          <cell r="A6" t="str">
            <v>Target_Effluent_TKN (mg/L)</v>
          </cell>
          <cell r="B6">
            <v>33.01135991627612</v>
          </cell>
          <cell r="C6">
            <v>4.6311971382619062</v>
          </cell>
          <cell r="D6">
            <v>5.7326288771601179</v>
          </cell>
          <cell r="E6">
            <v>0.40596397353302238</v>
          </cell>
          <cell r="F6">
            <v>3.1306972875774139</v>
          </cell>
          <cell r="G6">
            <v>0.12619904203346399</v>
          </cell>
          <cell r="H6">
            <v>0.98727519615838588</v>
          </cell>
          <cell r="I6">
            <v>1.631080030718703E-3</v>
          </cell>
          <cell r="J6">
            <v>0.98713790899623766</v>
          </cell>
          <cell r="K6">
            <v>1.6486776574830451E-3</v>
          </cell>
        </row>
        <row r="7">
          <cell r="A7" t="str">
            <v>Target_Effluent_TN (mg/L)</v>
          </cell>
          <cell r="B7">
            <v>27.50489060066748</v>
          </cell>
          <cell r="C7">
            <v>3.6459515034118168</v>
          </cell>
          <cell r="D7">
            <v>5.2344509386141356</v>
          </cell>
          <cell r="E7">
            <v>0.34223768853608999</v>
          </cell>
          <cell r="F7">
            <v>2.287077334114874</v>
          </cell>
          <cell r="G7">
            <v>0.10595895125663959</v>
          </cell>
          <cell r="H7">
            <v>0.99043822244155832</v>
          </cell>
          <cell r="I7">
            <v>1.190324185063283E-3</v>
          </cell>
          <cell r="J7">
            <v>0.9903350609844207</v>
          </cell>
          <cell r="K7">
            <v>1.203166522865717E-3</v>
          </cell>
        </row>
        <row r="8">
          <cell r="A8" t="str">
            <v>Target_Effluent_TP (mg/L)</v>
          </cell>
          <cell r="B8">
            <v>27.561448391323651</v>
          </cell>
          <cell r="C8">
            <v>11.749222480629591</v>
          </cell>
          <cell r="D8">
            <v>5.1549351478658094</v>
          </cell>
          <cell r="E8">
            <v>1.047797697088394</v>
          </cell>
          <cell r="F8">
            <v>1.9309643440889781</v>
          </cell>
          <cell r="G8">
            <v>0.12357821132899389</v>
          </cell>
          <cell r="H8">
            <v>0.98565904083030031</v>
          </cell>
          <cell r="I8">
            <v>5.9551284770080126E-3</v>
          </cell>
          <cell r="J8">
            <v>0.98550431706312891</v>
          </cell>
          <cell r="K8">
            <v>6.0193780087896467E-3</v>
          </cell>
        </row>
        <row r="9">
          <cell r="A9" t="str">
            <v>Target_Effluent_TSS (mg/L)</v>
          </cell>
          <cell r="B9">
            <v>24608.27314070403</v>
          </cell>
          <cell r="C9">
            <v>4620.9362373736767</v>
          </cell>
          <cell r="D9">
            <v>156.25152621983349</v>
          </cell>
          <cell r="E9">
            <v>14.671729984970961</v>
          </cell>
          <cell r="F9">
            <v>67.560599816085528</v>
          </cell>
          <cell r="G9">
            <v>2.8245999121784759</v>
          </cell>
          <cell r="H9">
            <v>0.99251261590315587</v>
          </cell>
          <cell r="I9">
            <v>1.31263264376903E-3</v>
          </cell>
          <cell r="J9">
            <v>0.99243183495538134</v>
          </cell>
          <cell r="K9">
            <v>1.326794560357245E-3</v>
          </cell>
        </row>
        <row r="10">
          <cell r="A10" t="str">
            <v>Target_Effluent_VSS (mg/L)</v>
          </cell>
          <cell r="B10">
            <v>17334.713485303331</v>
          </cell>
          <cell r="C10">
            <v>3529.1845812976262</v>
          </cell>
          <cell r="D10">
            <v>131.06842190355209</v>
          </cell>
          <cell r="E10">
            <v>13.15642069763239</v>
          </cell>
          <cell r="F10">
            <v>56.285988154925818</v>
          </cell>
          <cell r="G10">
            <v>2.688492453191988</v>
          </cell>
          <cell r="H10">
            <v>0.99231405407555295</v>
          </cell>
          <cell r="I10">
            <v>1.4745987943734749E-3</v>
          </cell>
          <cell r="J10">
            <v>0.992231130855869</v>
          </cell>
          <cell r="K10">
            <v>1.4905081542588121E-3</v>
          </cell>
        </row>
        <row r="11">
          <cell r="A11" t="str">
            <v>Target_Effluent_X_AUT (mg/L)</v>
          </cell>
          <cell r="B11">
            <v>23.786411383335881</v>
          </cell>
          <cell r="C11">
            <v>5.201656594266427</v>
          </cell>
          <cell r="D11">
            <v>4.8497371606380151</v>
          </cell>
          <cell r="E11">
            <v>0.5441209588385052</v>
          </cell>
          <cell r="F11">
            <v>2.1155181945527799</v>
          </cell>
          <cell r="G11">
            <v>0.1043802627283506</v>
          </cell>
          <cell r="H11">
            <v>0.95373141422605645</v>
          </cell>
          <cell r="I11">
            <v>1.011868772525056E-2</v>
          </cell>
          <cell r="J11">
            <v>0.95323222516848194</v>
          </cell>
          <cell r="K11">
            <v>1.0227857653506809E-2</v>
          </cell>
        </row>
        <row r="12">
          <cell r="A12" t="str">
            <v>Target_Effluent_X_H (mg/L)</v>
          </cell>
          <cell r="B12">
            <v>1928.8790217106559</v>
          </cell>
          <cell r="C12">
            <v>259.12381030081912</v>
          </cell>
          <cell r="D12">
            <v>43.831673820385582</v>
          </cell>
          <cell r="E12">
            <v>2.918026695099329</v>
          </cell>
          <cell r="F12">
            <v>18.478927956401542</v>
          </cell>
          <cell r="G12">
            <v>0.82964627061273177</v>
          </cell>
          <cell r="H12">
            <v>0.97612938450927711</v>
          </cell>
          <cell r="I12">
            <v>3.202335530091735E-3</v>
          </cell>
          <cell r="J12">
            <v>0.97587184583911424</v>
          </cell>
          <cell r="K12">
            <v>3.2368853402613041E-3</v>
          </cell>
        </row>
        <row r="13">
          <cell r="A13" t="str">
            <v>Target_Effluent_X_PAO (mg/L)</v>
          </cell>
          <cell r="B13">
            <v>17.280387426308831</v>
          </cell>
          <cell r="C13">
            <v>21.666771708624111</v>
          </cell>
          <cell r="D13">
            <v>3.6980329113193502</v>
          </cell>
          <cell r="E13">
            <v>2.001371755435025</v>
          </cell>
          <cell r="F13">
            <v>1.2283083603281439</v>
          </cell>
          <cell r="G13">
            <v>0.10069724991656</v>
          </cell>
          <cell r="H13">
            <v>0.92515617403739137</v>
          </cell>
          <cell r="I13">
            <v>8.1449796303914537E-2</v>
          </cell>
          <cell r="J13">
            <v>0.9243486883897839</v>
          </cell>
          <cell r="K13">
            <v>8.2328553377995869E-2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786.16784699101402</v>
          </cell>
          <cell r="C4">
            <v>87.919875308760894</v>
          </cell>
          <cell r="D4">
            <v>28.000279787581839</v>
          </cell>
          <cell r="E4">
            <v>1.546386040687471</v>
          </cell>
          <cell r="F4">
            <v>13.317544665524389</v>
          </cell>
          <cell r="G4">
            <v>0.41457617747620579</v>
          </cell>
          <cell r="H4">
            <v>0.97657030387461907</v>
          </cell>
          <cell r="I4">
            <v>2.4828008533896739E-3</v>
          </cell>
          <cell r="J4">
            <v>0.97631752225762225</v>
          </cell>
          <cell r="K4">
            <v>2.5095876461437229E-3</v>
          </cell>
        </row>
        <row r="5">
          <cell r="A5" t="str">
            <v>Target_Effluent_COD (mg/L)</v>
          </cell>
          <cell r="B5">
            <v>38465.651045706552</v>
          </cell>
          <cell r="C5">
            <v>7290.9511447422401</v>
          </cell>
          <cell r="D5">
            <v>195.38793793840361</v>
          </cell>
          <cell r="E5">
            <v>17.925920211467631</v>
          </cell>
          <cell r="F5">
            <v>78.489984250102822</v>
          </cell>
          <cell r="G5">
            <v>4.2642944116870307</v>
          </cell>
          <cell r="H5">
            <v>0.99263129888723789</v>
          </cell>
          <cell r="I5">
            <v>1.357046256253758E-3</v>
          </cell>
          <cell r="J5">
            <v>0.99255179840321617</v>
          </cell>
          <cell r="K5">
            <v>1.371687348701592E-3</v>
          </cell>
        </row>
        <row r="6">
          <cell r="A6" t="str">
            <v>Target_Effluent_TKN (mg/L)</v>
          </cell>
          <cell r="B6">
            <v>50.44490912112694</v>
          </cell>
          <cell r="C6">
            <v>5.4506340352366198</v>
          </cell>
          <cell r="D6">
            <v>7.0933628446535817</v>
          </cell>
          <cell r="E6">
            <v>0.37875919528989471</v>
          </cell>
          <cell r="F6">
            <v>4.0356684399162139</v>
          </cell>
          <cell r="G6">
            <v>0.11673915415053041</v>
          </cell>
          <cell r="H6">
            <v>0.9805451445388409</v>
          </cell>
          <cell r="I6">
            <v>1.859910822968737E-3</v>
          </cell>
          <cell r="J6">
            <v>0.98033524724458698</v>
          </cell>
          <cell r="K6">
            <v>1.8799772917263179E-3</v>
          </cell>
        </row>
        <row r="7">
          <cell r="A7" t="str">
            <v>Target_Effluent_TN (mg/L)</v>
          </cell>
          <cell r="B7">
            <v>35.196192970515668</v>
          </cell>
          <cell r="C7">
            <v>5.1110890578462671</v>
          </cell>
          <cell r="D7">
            <v>5.9188232707074109</v>
          </cell>
          <cell r="E7">
            <v>0.42651567725271272</v>
          </cell>
          <cell r="F7">
            <v>2.9141530476875248</v>
          </cell>
          <cell r="G7">
            <v>0.14903839090686441</v>
          </cell>
          <cell r="H7">
            <v>0.98776566006256306</v>
          </cell>
          <cell r="I7">
            <v>1.6622744628213011E-3</v>
          </cell>
          <cell r="J7">
            <v>0.98763366448670398</v>
          </cell>
          <cell r="K7">
            <v>1.680208644483597E-3</v>
          </cell>
        </row>
        <row r="8">
          <cell r="A8" t="str">
            <v>Target_Effluent_TP (mg/L)</v>
          </cell>
          <cell r="B8">
            <v>26.79094108390219</v>
          </cell>
          <cell r="C8">
            <v>11.45525637591046</v>
          </cell>
          <cell r="D8">
            <v>5.078968376599903</v>
          </cell>
          <cell r="E8">
            <v>1.051465280982443</v>
          </cell>
          <cell r="F8">
            <v>1.7284937276719821</v>
          </cell>
          <cell r="G8">
            <v>0.14386591893059211</v>
          </cell>
          <cell r="H8">
            <v>0.98605189199200949</v>
          </cell>
          <cell r="I8">
            <v>5.8256034000359917E-3</v>
          </cell>
          <cell r="J8">
            <v>0.98590140667297521</v>
          </cell>
          <cell r="K8">
            <v>5.8884554933607228E-3</v>
          </cell>
        </row>
        <row r="9">
          <cell r="A9" t="str">
            <v>Target_Effluent_TSS (mg/L)</v>
          </cell>
          <cell r="B9">
            <v>24330.22577153055</v>
          </cell>
          <cell r="C9">
            <v>4701.0178149184912</v>
          </cell>
          <cell r="D9">
            <v>155.3737565980384</v>
          </cell>
          <cell r="E9">
            <v>14.49986713134814</v>
          </cell>
          <cell r="F9">
            <v>62.520503430440073</v>
          </cell>
          <cell r="G9">
            <v>3.2950861533216429</v>
          </cell>
          <cell r="H9">
            <v>0.99258806950691481</v>
          </cell>
          <cell r="I9">
            <v>1.380729000007906E-3</v>
          </cell>
          <cell r="J9">
            <v>0.99250810262364486</v>
          </cell>
          <cell r="K9">
            <v>1.3956256041886971E-3</v>
          </cell>
        </row>
        <row r="10">
          <cell r="A10" t="str">
            <v>Target_Effluent_VSS (mg/L)</v>
          </cell>
          <cell r="B10">
            <v>16737.799817903258</v>
          </cell>
          <cell r="C10">
            <v>3145.275867655092</v>
          </cell>
          <cell r="D10">
            <v>128.89704162667181</v>
          </cell>
          <cell r="E10">
            <v>11.70719046831668</v>
          </cell>
          <cell r="F10">
            <v>52.06621257381412</v>
          </cell>
          <cell r="G10">
            <v>2.6833220080713569</v>
          </cell>
          <cell r="H10">
            <v>0.99256796631999733</v>
          </cell>
          <cell r="I10">
            <v>1.3569608818096469E-3</v>
          </cell>
          <cell r="J10">
            <v>0.99248778254462311</v>
          </cell>
          <cell r="K10">
            <v>1.3716010531575611E-3</v>
          </cell>
        </row>
        <row r="11">
          <cell r="A11" t="str">
            <v>Target_Effluent_X_AUT (mg/L)</v>
          </cell>
          <cell r="B11">
            <v>18.948847060299041</v>
          </cell>
          <cell r="C11">
            <v>3.337719563274828</v>
          </cell>
          <cell r="D11">
            <v>4.3374097103267886</v>
          </cell>
          <cell r="E11">
            <v>0.38833557232819249</v>
          </cell>
          <cell r="F11">
            <v>1.9394492009363209</v>
          </cell>
          <cell r="G11">
            <v>9.0377984271318143E-2</v>
          </cell>
          <cell r="H11">
            <v>0.96318549595485548</v>
          </cell>
          <cell r="I11">
            <v>6.0403677975901663E-3</v>
          </cell>
          <cell r="J11">
            <v>0.96278830643043045</v>
          </cell>
          <cell r="K11">
            <v>6.1055369714009761E-3</v>
          </cell>
        </row>
        <row r="12">
          <cell r="A12" t="str">
            <v>Target_Effluent_X_H (mg/L)</v>
          </cell>
          <cell r="B12">
            <v>1967.424670383358</v>
          </cell>
          <cell r="C12">
            <v>238.72246482971289</v>
          </cell>
          <cell r="D12">
            <v>44.283435595779977</v>
          </cell>
          <cell r="E12">
            <v>2.6670837627483972</v>
          </cell>
          <cell r="F12">
            <v>20.656803641857859</v>
          </cell>
          <cell r="G12">
            <v>0.76664804299869793</v>
          </cell>
          <cell r="H12">
            <v>0.97566397017838624</v>
          </cell>
          <cell r="I12">
            <v>2.833746151506365E-3</v>
          </cell>
          <cell r="J12">
            <v>0.97540141018031079</v>
          </cell>
          <cell r="K12">
            <v>2.8643192724935938E-3</v>
          </cell>
        </row>
        <row r="13">
          <cell r="A13" t="str">
            <v>Target_Effluent_X_PAO (mg/L)</v>
          </cell>
          <cell r="B13">
            <v>18.311631120491398</v>
          </cell>
          <cell r="C13">
            <v>22.246461209013219</v>
          </cell>
          <cell r="D13">
            <v>3.8081391450387949</v>
          </cell>
          <cell r="E13">
            <v>2.057427566570178</v>
          </cell>
          <cell r="F13">
            <v>1.348008455603644</v>
          </cell>
          <cell r="G13">
            <v>9.5121174138986506E-2</v>
          </cell>
          <cell r="H13">
            <v>0.9216987805917396</v>
          </cell>
          <cell r="I13">
            <v>8.1499710711679788E-2</v>
          </cell>
          <cell r="J13">
            <v>0.92085399332907458</v>
          </cell>
          <cell r="K13">
            <v>8.2379006309378278E-2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115324.73744125479</v>
          </cell>
          <cell r="C4">
            <v>214642.2255196211</v>
          </cell>
          <cell r="D4">
            <v>232.82677693040571</v>
          </cell>
          <cell r="E4">
            <v>260.58999167584187</v>
          </cell>
          <cell r="F4">
            <v>57.222092733788138</v>
          </cell>
          <cell r="G4">
            <v>9.5294390807420459</v>
          </cell>
          <cell r="H4">
            <v>-2.4463292014180071</v>
          </cell>
          <cell r="I4">
            <v>6.3606977063131529</v>
          </cell>
          <cell r="J4">
            <v>-2.4835114449936571</v>
          </cell>
          <cell r="K4">
            <v>6.4293229007170716</v>
          </cell>
        </row>
        <row r="5">
          <cell r="A5" t="str">
            <v>Target_Effluent_COD (mg/L)</v>
          </cell>
          <cell r="B5">
            <v>1086813.1130777609</v>
          </cell>
          <cell r="C5">
            <v>74725.437104246768</v>
          </cell>
          <cell r="D5">
            <v>1041.9429158898679</v>
          </cell>
          <cell r="E5">
            <v>36.025810264321649</v>
          </cell>
          <cell r="F5">
            <v>634.6592087416069</v>
          </cell>
          <cell r="G5">
            <v>19.91579534468308</v>
          </cell>
          <cell r="H5">
            <v>0.79172247816105779</v>
          </cell>
          <cell r="I5">
            <v>1.431306126159685E-2</v>
          </cell>
          <cell r="J5">
            <v>0.78947538419651087</v>
          </cell>
          <cell r="K5">
            <v>1.446748403987435E-2</v>
          </cell>
        </row>
        <row r="6">
          <cell r="A6" t="str">
            <v>Target_Effluent_TKN (mg/L)</v>
          </cell>
          <cell r="B6">
            <v>522.30057460631178</v>
          </cell>
          <cell r="C6">
            <v>50.045792735708908</v>
          </cell>
          <cell r="D6">
            <v>22.830575691359829</v>
          </cell>
          <cell r="E6">
            <v>1.088009501286946</v>
          </cell>
          <cell r="F6">
            <v>13.644080106823839</v>
          </cell>
          <cell r="G6">
            <v>0.39609908279278971</v>
          </cell>
          <cell r="H6">
            <v>0.79843280763341029</v>
          </cell>
          <cell r="I6">
            <v>1.805157568706801E-2</v>
          </cell>
          <cell r="J6">
            <v>0.79625811101988009</v>
          </cell>
          <cell r="K6">
            <v>1.8246333078162421E-2</v>
          </cell>
        </row>
        <row r="7">
          <cell r="A7" t="str">
            <v>Target_Effluent_TN (mg/L)</v>
          </cell>
          <cell r="B7">
            <v>541.77368815012676</v>
          </cell>
          <cell r="C7">
            <v>55.785845076653459</v>
          </cell>
          <cell r="D7">
            <v>23.24666235040899</v>
          </cell>
          <cell r="E7">
            <v>1.232151558230153</v>
          </cell>
          <cell r="F7">
            <v>13.39200007881391</v>
          </cell>
          <cell r="G7">
            <v>0.52977704218699073</v>
          </cell>
          <cell r="H7">
            <v>0.81156346264498214</v>
          </cell>
          <cell r="I7">
            <v>1.8644680880753009E-2</v>
          </cell>
          <cell r="J7">
            <v>0.80953043189806362</v>
          </cell>
          <cell r="K7">
            <v>1.884583724898772E-2</v>
          </cell>
        </row>
        <row r="8">
          <cell r="A8" t="str">
            <v>Target_Effluent_TP (mg/L)</v>
          </cell>
          <cell r="B8">
            <v>357.4488200339481</v>
          </cell>
          <cell r="C8">
            <v>36.50201464877108</v>
          </cell>
          <cell r="D8">
            <v>18.883716801666449</v>
          </cell>
          <cell r="E8">
            <v>0.97414337777021798</v>
          </cell>
          <cell r="F8">
            <v>10.642290291307191</v>
          </cell>
          <cell r="G8">
            <v>0.4147889058562701</v>
          </cell>
          <cell r="H8">
            <v>0.81333760449840642</v>
          </cell>
          <cell r="I8">
            <v>1.8342671119838401E-2</v>
          </cell>
          <cell r="J8">
            <v>0.81132371486386456</v>
          </cell>
          <cell r="K8">
            <v>1.8540569122479981E-2</v>
          </cell>
        </row>
        <row r="9">
          <cell r="A9" t="str">
            <v>Target_Effluent_TSS (mg/L)</v>
          </cell>
          <cell r="B9">
            <v>695417.6641515845</v>
          </cell>
          <cell r="C9">
            <v>49966.212208052777</v>
          </cell>
          <cell r="D9">
            <v>833.42861862971017</v>
          </cell>
          <cell r="E9">
            <v>30.081404380587252</v>
          </cell>
          <cell r="F9">
            <v>510.42612063705809</v>
          </cell>
          <cell r="G9">
            <v>15.943485859926909</v>
          </cell>
          <cell r="H9">
            <v>0.78801608356214559</v>
          </cell>
          <cell r="I9">
            <v>1.494646599945572E-2</v>
          </cell>
          <cell r="J9">
            <v>0.78572900152370617</v>
          </cell>
          <cell r="K9">
            <v>1.5107722544291369E-2</v>
          </cell>
        </row>
        <row r="10">
          <cell r="A10" t="str">
            <v>Target_Effluent_VSS (mg/L)</v>
          </cell>
          <cell r="B10">
            <v>477195.55174614518</v>
          </cell>
          <cell r="C10">
            <v>32866.906543149627</v>
          </cell>
          <cell r="D10">
            <v>690.42014479595082</v>
          </cell>
          <cell r="E10">
            <v>23.93452657386436</v>
          </cell>
          <cell r="F10">
            <v>423.27667847731828</v>
          </cell>
          <cell r="G10">
            <v>13.13327519515112</v>
          </cell>
          <cell r="H10">
            <v>0.78802650490613557</v>
          </cell>
          <cell r="I10">
            <v>1.4514018927619511E-2</v>
          </cell>
          <cell r="J10">
            <v>0.78573953530296503</v>
          </cell>
          <cell r="K10">
            <v>1.467060982636657E-2</v>
          </cell>
        </row>
        <row r="11">
          <cell r="A11" t="str">
            <v>Target_Effluent_X_AUT (mg/L)</v>
          </cell>
          <cell r="B11">
            <v>400.21429785967229</v>
          </cell>
          <cell r="C11">
            <v>667.93593622492006</v>
          </cell>
          <cell r="D11">
            <v>16.621348457641108</v>
          </cell>
          <cell r="E11">
            <v>11.735277931156681</v>
          </cell>
          <cell r="F11">
            <v>7.2538624971805463</v>
          </cell>
          <cell r="G11">
            <v>0.44028323126459318</v>
          </cell>
          <cell r="H11">
            <v>0.21850946897307541</v>
          </cell>
          <cell r="I11">
            <v>1.2893800508110189</v>
          </cell>
          <cell r="J11">
            <v>0.21007801347986521</v>
          </cell>
          <cell r="K11">
            <v>1.3032910965379081</v>
          </cell>
        </row>
        <row r="12">
          <cell r="A12" t="str">
            <v>Target_Effluent_X_H (mg/L)</v>
          </cell>
          <cell r="B12">
            <v>192114.45385997041</v>
          </cell>
          <cell r="C12">
            <v>338579.99479444459</v>
          </cell>
          <cell r="D12">
            <v>316.08094050131189</v>
          </cell>
          <cell r="E12">
            <v>320.08209521894798</v>
          </cell>
          <cell r="F12">
            <v>89.004535440470846</v>
          </cell>
          <cell r="G12">
            <v>11.606113023530741</v>
          </cell>
          <cell r="H12">
            <v>-1.392922622677671</v>
          </cell>
          <cell r="I12">
            <v>4.1911582911806864</v>
          </cell>
          <cell r="J12">
            <v>-1.41873972447325</v>
          </cell>
          <cell r="K12">
            <v>4.2363764521104841</v>
          </cell>
        </row>
        <row r="13">
          <cell r="A13" t="str">
            <v>Target_Effluent_X_PAO (mg/L)</v>
          </cell>
          <cell r="B13">
            <v>265233514.86470979</v>
          </cell>
          <cell r="C13">
            <v>537452530.64802074</v>
          </cell>
          <cell r="D13">
            <v>8351.3723831203733</v>
          </cell>
          <cell r="E13">
            <v>14738.01185834945</v>
          </cell>
          <cell r="F13">
            <v>259.44301072433359</v>
          </cell>
          <cell r="G13">
            <v>481.81541430785882</v>
          </cell>
          <cell r="H13">
            <v>-952677.9196360897</v>
          </cell>
          <cell r="I13">
            <v>1833879.209508396</v>
          </cell>
          <cell r="J13">
            <v>-962956.31661126018</v>
          </cell>
          <cell r="K13">
            <v>1853664.8247154991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_val_statistics"/>
      <sheetName val="calibration_data"/>
      <sheetName val="calibration_statistics"/>
      <sheetName val="calibration_prediction"/>
      <sheetName val="validation_data"/>
      <sheetName val="validation_statistics"/>
      <sheetName val="validation_prediction"/>
    </sheetNames>
    <sheetDataSet>
      <sheetData sheetId="0">
        <row r="1">
          <cell r="A1"/>
          <cell r="B1" t="str">
            <v>MSE</v>
          </cell>
          <cell r="C1"/>
          <cell r="D1" t="str">
            <v>RMSE</v>
          </cell>
          <cell r="E1"/>
          <cell r="F1" t="str">
            <v>MAE</v>
          </cell>
          <cell r="G1"/>
          <cell r="H1" t="str">
            <v>R2</v>
          </cell>
          <cell r="I1"/>
          <cell r="J1" t="str">
            <v>Adj_R2</v>
          </cell>
          <cell r="K1"/>
        </row>
        <row r="2">
          <cell r="A2"/>
          <cell r="B2" t="str">
            <v>mean</v>
          </cell>
          <cell r="C2" t="str">
            <v>std</v>
          </cell>
          <cell r="D2" t="str">
            <v>mean</v>
          </cell>
          <cell r="E2" t="str">
            <v>std</v>
          </cell>
          <cell r="F2" t="str">
            <v>mean</v>
          </cell>
          <cell r="G2" t="str">
            <v>std</v>
          </cell>
          <cell r="H2" t="str">
            <v>mean</v>
          </cell>
          <cell r="I2" t="str">
            <v>std</v>
          </cell>
          <cell r="J2" t="str">
            <v>mean</v>
          </cell>
          <cell r="K2" t="str">
            <v>std</v>
          </cell>
        </row>
        <row r="3">
          <cell r="A3" t="str">
            <v>variable</v>
          </cell>
        </row>
        <row r="4">
          <cell r="A4" t="str">
            <v>Target_Effluent_BOD (mg/L)</v>
          </cell>
          <cell r="B4">
            <v>993.82082493845667</v>
          </cell>
          <cell r="C4">
            <v>123.7083629868409</v>
          </cell>
          <cell r="D4">
            <v>31.47034420084557</v>
          </cell>
          <cell r="E4">
            <v>1.9545561641007609</v>
          </cell>
          <cell r="F4">
            <v>17.67265816645153</v>
          </cell>
          <cell r="G4">
            <v>0.78694816428143688</v>
          </cell>
          <cell r="H4">
            <v>0.97035477876055709</v>
          </cell>
          <cell r="I4">
            <v>3.7491622402691491E-3</v>
          </cell>
          <cell r="J4">
            <v>0.97003493820773767</v>
          </cell>
          <cell r="K4">
            <v>3.7896117317353329E-3</v>
          </cell>
        </row>
        <row r="5">
          <cell r="A5" t="str">
            <v>Target_Effluent_COD (mg/L)</v>
          </cell>
          <cell r="B5">
            <v>179001.7905285157</v>
          </cell>
          <cell r="C5">
            <v>19612.48287424324</v>
          </cell>
          <cell r="D5">
            <v>422.50719700180292</v>
          </cell>
          <cell r="E5">
            <v>23.320449066464551</v>
          </cell>
          <cell r="F5">
            <v>173.09939877435369</v>
          </cell>
          <cell r="G5">
            <v>7.5580640539945172</v>
          </cell>
          <cell r="H5">
            <v>0.96573775899493608</v>
          </cell>
          <cell r="I5">
            <v>3.295098965282016E-3</v>
          </cell>
          <cell r="J5">
            <v>0.96536810568672227</v>
          </cell>
          <cell r="K5">
            <v>3.3306495947118672E-3</v>
          </cell>
        </row>
        <row r="6">
          <cell r="A6" t="str">
            <v>Target_Effluent_TKN (mg/L)</v>
          </cell>
          <cell r="B6">
            <v>99.979270317295232</v>
          </cell>
          <cell r="C6">
            <v>11.759706004344681</v>
          </cell>
          <cell r="D6">
            <v>9.9834603821557266</v>
          </cell>
          <cell r="E6">
            <v>0.58669423725203218</v>
          </cell>
          <cell r="F6">
            <v>5.2275268330210007</v>
          </cell>
          <cell r="G6">
            <v>0.21233175888689881</v>
          </cell>
          <cell r="H6">
            <v>0.96143591630086522</v>
          </cell>
          <cell r="I6">
            <v>4.1562350318144481E-3</v>
          </cell>
          <cell r="J6">
            <v>0.96101985066419215</v>
          </cell>
          <cell r="K6">
            <v>4.2010764077477086E-3</v>
          </cell>
        </row>
        <row r="7">
          <cell r="A7" t="str">
            <v>Target_Effluent_TN (mg/L)</v>
          </cell>
          <cell r="B7">
            <v>96.8368190454092</v>
          </cell>
          <cell r="C7">
            <v>9.8553555454357191</v>
          </cell>
          <cell r="D7">
            <v>9.829561237302153</v>
          </cell>
          <cell r="E7">
            <v>0.49051551967312162</v>
          </cell>
          <cell r="F7">
            <v>4.858739599922119</v>
          </cell>
          <cell r="G7">
            <v>0.21626261823511311</v>
          </cell>
          <cell r="H7">
            <v>0.96634726722315956</v>
          </cell>
          <cell r="I7">
            <v>2.911941906909769E-3</v>
          </cell>
          <cell r="J7">
            <v>0.96598418986346335</v>
          </cell>
          <cell r="K7">
            <v>2.943358677314746E-3</v>
          </cell>
        </row>
        <row r="8">
          <cell r="A8" t="str">
            <v>Target_Effluent_TP (mg/L)</v>
          </cell>
          <cell r="B8">
            <v>71.177679432159039</v>
          </cell>
          <cell r="C8">
            <v>13.067393356053829</v>
          </cell>
          <cell r="D8">
            <v>8.4055747515011561</v>
          </cell>
          <cell r="E8">
            <v>0.7630294366575272</v>
          </cell>
          <cell r="F8">
            <v>3.456099766146326</v>
          </cell>
          <cell r="G8">
            <v>0.19659537545105499</v>
          </cell>
          <cell r="H8">
            <v>0.96288235935817623</v>
          </cell>
          <cell r="I8">
            <v>6.4191511904954316E-3</v>
          </cell>
          <cell r="J8">
            <v>0.96248189931079309</v>
          </cell>
          <cell r="K8">
            <v>6.4884070361110064E-3</v>
          </cell>
        </row>
        <row r="9">
          <cell r="A9" t="str">
            <v>Target_Effluent_TSS (mg/L)</v>
          </cell>
          <cell r="B9">
            <v>113981.8201604886</v>
          </cell>
          <cell r="C9">
            <v>13356.246261283981</v>
          </cell>
          <cell r="D9">
            <v>337.10625698871269</v>
          </cell>
          <cell r="E9">
            <v>19.470537844211488</v>
          </cell>
          <cell r="F9">
            <v>136.12103513748539</v>
          </cell>
          <cell r="G9">
            <v>6.8716558843444524</v>
          </cell>
          <cell r="H9">
            <v>0.96526159251637811</v>
          </cell>
          <cell r="I9">
            <v>3.9246276980784136E-3</v>
          </cell>
          <cell r="J9">
            <v>0.96488680187596143</v>
          </cell>
          <cell r="K9">
            <v>3.9669702760752367E-3</v>
          </cell>
        </row>
        <row r="10">
          <cell r="A10" t="str">
            <v>Target_Effluent_VSS (mg/L)</v>
          </cell>
          <cell r="B10">
            <v>78880.273424265484</v>
          </cell>
          <cell r="C10">
            <v>9814.3501468735139</v>
          </cell>
          <cell r="D10">
            <v>280.35521311207668</v>
          </cell>
          <cell r="E10">
            <v>17.6769751418034</v>
          </cell>
          <cell r="F10">
            <v>113.503166872785</v>
          </cell>
          <cell r="G10">
            <v>6.4383043024789881</v>
          </cell>
          <cell r="H10">
            <v>0.96497174273433506</v>
          </cell>
          <cell r="I10">
            <v>4.2687524741763213E-3</v>
          </cell>
          <cell r="J10">
            <v>0.96459382492162393</v>
          </cell>
          <cell r="K10">
            <v>4.3148077941943582E-3</v>
          </cell>
        </row>
        <row r="11">
          <cell r="A11" t="str">
            <v>Target_Effluent_X_AUT (mg/L)</v>
          </cell>
          <cell r="B11">
            <v>29.558192339746729</v>
          </cell>
          <cell r="C11">
            <v>4.1366966841629944</v>
          </cell>
          <cell r="D11">
            <v>5.4249885483482254</v>
          </cell>
          <cell r="E11">
            <v>0.37666901184720208</v>
          </cell>
          <cell r="F11">
            <v>2.9139977130351311</v>
          </cell>
          <cell r="G11">
            <v>0.10968319461485131</v>
          </cell>
          <cell r="H11">
            <v>0.94253014546213021</v>
          </cell>
          <cell r="I11">
            <v>7.3367036565721794E-3</v>
          </cell>
          <cell r="J11">
            <v>0.94191010657298269</v>
          </cell>
          <cell r="K11">
            <v>7.4158589219161823E-3</v>
          </cell>
        </row>
        <row r="12">
          <cell r="A12" t="str">
            <v>Target_Effluent_X_H (mg/L)</v>
          </cell>
          <cell r="B12">
            <v>2661.955073346986</v>
          </cell>
          <cell r="C12">
            <v>330.69474391860382</v>
          </cell>
          <cell r="D12">
            <v>51.5062468822412</v>
          </cell>
          <cell r="E12">
            <v>3.1730821771416529</v>
          </cell>
          <cell r="F12">
            <v>28.776831702879331</v>
          </cell>
          <cell r="G12">
            <v>1.31538622493573</v>
          </cell>
          <cell r="H12">
            <v>0.96705403483940522</v>
          </cell>
          <cell r="I12">
            <v>4.1011128963572719E-3</v>
          </cell>
          <cell r="J12">
            <v>0.96669858275405818</v>
          </cell>
          <cell r="K12">
            <v>4.1453595628048326E-3</v>
          </cell>
        </row>
        <row r="13">
          <cell r="A13" t="str">
            <v>Target_Effluent_X_PAO (mg/L)</v>
          </cell>
          <cell r="B13">
            <v>34.99647106655361</v>
          </cell>
          <cell r="C13">
            <v>34.255267800372089</v>
          </cell>
          <cell r="D13">
            <v>5.3355631145367024</v>
          </cell>
          <cell r="E13">
            <v>2.6932502704495689</v>
          </cell>
          <cell r="F13">
            <v>1.7825440287108001</v>
          </cell>
          <cell r="G13">
            <v>0.13729058267542979</v>
          </cell>
          <cell r="H13">
            <v>0.85467748180786884</v>
          </cell>
          <cell r="I13">
            <v>0.1103217843083913</v>
          </cell>
          <cell r="J13">
            <v>0.8531096056844204</v>
          </cell>
          <cell r="K13">
            <v>0.11151203956728151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A190-AEC8-424F-A480-73447EC6B472}">
  <dimension ref="A1:J12"/>
  <sheetViews>
    <sheetView tabSelected="1" workbookViewId="0">
      <selection activeCell="C9" sqref="C9"/>
    </sheetView>
  </sheetViews>
  <sheetFormatPr defaultRowHeight="14.5" x14ac:dyDescent="0.35"/>
  <cols>
    <col min="1" max="1" width="25" bestFit="1" customWidth="1"/>
  </cols>
  <sheetData>
    <row r="1" spans="1:10" x14ac:dyDescent="0.35"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5">
      <c r="A2" t="s">
        <v>1</v>
      </c>
      <c r="B2">
        <f>VLOOKUP($A2,[1]cross_val_statistics!$A:$K,8,FALSE)</f>
        <v>0.99241736135240877</v>
      </c>
      <c r="C2">
        <f>VLOOKUP($A2,[2]cross_val_statistics!$A:$K,8,FALSE)</f>
        <v>0.96721890483460427</v>
      </c>
      <c r="D2">
        <f>VLOOKUP($A2,[3]cross_val_statistics!$A:$K,8,FALSE)</f>
        <v>-3.17644237005555</v>
      </c>
      <c r="E2">
        <f>VLOOKUP($A2,[4]cross_val_statistics!$A:$K,8,FALSE)</f>
        <v>-1.2971725183766281</v>
      </c>
      <c r="F2">
        <f>VLOOKUP($A2,[5]cross_val_statistics!$A:$K,8,FALSE)</f>
        <v>0.9442625872798317</v>
      </c>
      <c r="G2">
        <f>VLOOKUP($A2,[6]cross_val_statistics!$A:$K,8,FALSE)</f>
        <v>0.98923783600879533</v>
      </c>
      <c r="H2">
        <f>VLOOKUP($A2,[7]cross_val_statistics!$A:$K,8,FALSE)</f>
        <v>0.97120060053802093</v>
      </c>
      <c r="I2">
        <f>VLOOKUP($A2,[8]cross_val_statistics!$A:$K,8,FALSE)</f>
        <v>-56.964050734855533</v>
      </c>
      <c r="J2">
        <f>VLOOKUP($A2,[9]cross_val_statistics!$A:$K,8,FALSE)</f>
        <v>0.91590825387638886</v>
      </c>
    </row>
    <row r="3" spans="1:10" x14ac:dyDescent="0.35">
      <c r="A3" t="s">
        <v>2</v>
      </c>
      <c r="B3">
        <f>VLOOKUP($A3,[1]cross_val_statistics!$A:$K,8,FALSE)</f>
        <v>0.99147789238010964</v>
      </c>
      <c r="C3">
        <f>VLOOKUP($A3,[2]cross_val_statistics!$A:$K,8,FALSE)</f>
        <v>0.92633073164875834</v>
      </c>
      <c r="D3">
        <f>VLOOKUP($A3,[3]cross_val_statistics!$A:$K,8,FALSE)</f>
        <v>0.1839429459906271</v>
      </c>
      <c r="E3">
        <f>VLOOKUP($A3,[4]cross_val_statistics!$A:$K,8,FALSE)</f>
        <v>0.57878483067198594</v>
      </c>
      <c r="F3">
        <f>VLOOKUP($A3,[5]cross_val_statistics!$A:$K,8,FALSE)</f>
        <v>0.9075003004630291</v>
      </c>
      <c r="G3">
        <f>VLOOKUP($A3,[6]cross_val_statistics!$A:$K,8,FALSE)</f>
        <v>0.98560786825790403</v>
      </c>
      <c r="H3">
        <f>VLOOKUP($A3,[7]cross_val_statistics!$A:$K,8,FALSE)</f>
        <v>0.96727057577401199</v>
      </c>
      <c r="I3">
        <f>VLOOKUP($A3,[8]cross_val_statistics!$A:$K,8,FALSE)</f>
        <v>-5.6441865002755716</v>
      </c>
      <c r="J3">
        <f>VLOOKUP($A3,[9]cross_val_statistics!$A:$K,8,FALSE)</f>
        <v>0.9275412707014038</v>
      </c>
    </row>
    <row r="4" spans="1:10" x14ac:dyDescent="0.35">
      <c r="A4" t="s">
        <v>3</v>
      </c>
      <c r="B4">
        <f>VLOOKUP($A4,[1]cross_val_statistics!$A:$K,8,FALSE)</f>
        <v>0.97852900966415635</v>
      </c>
      <c r="C4">
        <f>VLOOKUP($A4,[2]cross_val_statistics!$A:$K,8,FALSE)</f>
        <v>0.9413221333824483</v>
      </c>
      <c r="D4">
        <f>VLOOKUP($A4,[3]cross_val_statistics!$A:$K,8,FALSE)</f>
        <v>0.61340223187189724</v>
      </c>
      <c r="E4">
        <f>VLOOKUP($A4,[4]cross_val_statistics!$A:$K,8,FALSE)</f>
        <v>-12.50663132418514</v>
      </c>
      <c r="F4">
        <f>VLOOKUP($A4,[5]cross_val_statistics!$A:$K,8,FALSE)</f>
        <v>0.81866560237707553</v>
      </c>
      <c r="G4">
        <f>VLOOKUP($A4,[6]cross_val_statistics!$A:$K,8,FALSE)</f>
        <v>0.95796143743250861</v>
      </c>
      <c r="H4">
        <f>VLOOKUP($A4,[7]cross_val_statistics!$A:$K,8,FALSE)</f>
        <v>0.89835923230891779</v>
      </c>
      <c r="I4">
        <f>VLOOKUP($A4,[8]cross_val_statistics!$A:$K,8,FALSE)</f>
        <v>0.75178857993290937</v>
      </c>
      <c r="J4">
        <f>VLOOKUP($A4,[9]cross_val_statistics!$A:$K,8,FALSE)</f>
        <v>0.89882432807445878</v>
      </c>
    </row>
    <row r="5" spans="1:10" x14ac:dyDescent="0.35">
      <c r="A5" t="s">
        <v>4</v>
      </c>
      <c r="B5">
        <f>VLOOKUP($A5,[1]cross_val_statistics!$A:$K,8,FALSE)</f>
        <v>0.99387161409037506</v>
      </c>
      <c r="C5">
        <f>VLOOKUP($A5,[2]cross_val_statistics!$A:$K,8,FALSE)</f>
        <v>0.893651996352955</v>
      </c>
      <c r="D5">
        <f>VLOOKUP($A5,[3]cross_val_statistics!$A:$K,8,FALSE)</f>
        <v>0.87050189983248494</v>
      </c>
      <c r="E5">
        <f>VLOOKUP($A5,[4]cross_val_statistics!$A:$K,8,FALSE)</f>
        <v>0.95347420765011004</v>
      </c>
      <c r="F5">
        <f>VLOOKUP($A5,[5]cross_val_statistics!$A:$K,8,FALSE)</f>
        <v>0.53347353955443821</v>
      </c>
      <c r="G5">
        <f>VLOOKUP($A5,[6]cross_val_statistics!$A:$K,8,FALSE)</f>
        <v>0.92649460256735294</v>
      </c>
      <c r="H5">
        <f>VLOOKUP($A5,[7]cross_val_statistics!$A:$K,8,FALSE)</f>
        <v>0.79304662567130502</v>
      </c>
      <c r="I5">
        <f>VLOOKUP($A5,[8]cross_val_statistics!$A:$K,8,FALSE)</f>
        <v>0.95489212108630883</v>
      </c>
      <c r="J5">
        <f>VLOOKUP($A5,[9]cross_val_statistics!$A:$K,8,FALSE)</f>
        <v>0.88967047145627232</v>
      </c>
    </row>
    <row r="6" spans="1:10" x14ac:dyDescent="0.35">
      <c r="A6" t="s">
        <v>5</v>
      </c>
      <c r="B6">
        <f>VLOOKUP($A6,[1]cross_val_statistics!$A:$K,8,FALSE)</f>
        <v>0.98739004200310931</v>
      </c>
      <c r="C6">
        <f>VLOOKUP($A6,[2]cross_val_statistics!$A:$K,8,FALSE)</f>
        <v>0.91187562873398742</v>
      </c>
      <c r="D6">
        <f>VLOOKUP($A6,[3]cross_val_statistics!$A:$K,8,FALSE)</f>
        <v>0.88561244937332584</v>
      </c>
      <c r="E6">
        <f>VLOOKUP($A6,[4]cross_val_statistics!$A:$K,8,FALSE)</f>
        <v>0.88314861233639286</v>
      </c>
      <c r="F6">
        <f>VLOOKUP($A6,[5]cross_val_statistics!$A:$K,8,FALSE)</f>
        <v>0.88114280903298126</v>
      </c>
      <c r="G6">
        <f>VLOOKUP($A6,[6]cross_val_statistics!$A:$K,8,FALSE)</f>
        <v>0.97820954772608637</v>
      </c>
      <c r="H6">
        <f>VLOOKUP($A6,[7]cross_val_statistics!$A:$K,8,FALSE)</f>
        <v>0.95917406370387115</v>
      </c>
      <c r="I6">
        <f>VLOOKUP($A6,[8]cross_val_statistics!$A:$K,8,FALSE)</f>
        <v>0.85339605862327128</v>
      </c>
      <c r="J6">
        <f>VLOOKUP($A6,[9]cross_val_statistics!$A:$K,8,FALSE)</f>
        <v>0.92922841453347649</v>
      </c>
    </row>
    <row r="7" spans="1:10" x14ac:dyDescent="0.35">
      <c r="A7" t="s">
        <v>6</v>
      </c>
      <c r="B7">
        <f>VLOOKUP($A7,[1]cross_val_statistics!$A:$K,8,FALSE)</f>
        <v>0.98632056833650594</v>
      </c>
      <c r="C7">
        <f>VLOOKUP($A7,[2]cross_val_statistics!$A:$K,8,FALSE)</f>
        <v>0.92865840825245449</v>
      </c>
      <c r="D7">
        <f>VLOOKUP($A7,[3]cross_val_statistics!$A:$K,8,FALSE)</f>
        <v>-378.11921023664462</v>
      </c>
      <c r="E7">
        <f>VLOOKUP($A7,[4]cross_val_statistics!$A:$K,8,FALSE)</f>
        <v>-12428.32239792263</v>
      </c>
      <c r="F7">
        <f>VLOOKUP($A7,[5]cross_val_statistics!$A:$K,8,FALSE)</f>
        <v>0.88755704781612155</v>
      </c>
      <c r="G7">
        <f>VLOOKUP($A7,[6]cross_val_statistics!$A:$K,8,FALSE)</f>
        <v>0.97071855502811533</v>
      </c>
      <c r="H7">
        <f>VLOOKUP($A7,[7]cross_val_statistics!$A:$K,8,FALSE)</f>
        <v>0.95613209579331548</v>
      </c>
      <c r="I7">
        <f>VLOOKUP($A7,[8]cross_val_statistics!$A:$K,8,FALSE)</f>
        <v>-63769.604805078947</v>
      </c>
      <c r="J7">
        <f>VLOOKUP($A7,[9]cross_val_statistics!$A:$K,8,FALSE)</f>
        <v>0.84241201721882653</v>
      </c>
    </row>
    <row r="8" spans="1:10" x14ac:dyDescent="0.35">
      <c r="A8" t="s">
        <v>7</v>
      </c>
      <c r="B8">
        <f>VLOOKUP($A8,[1]cross_val_statistics!$A:$K,8,FALSE)</f>
        <v>0.985565475114484</v>
      </c>
      <c r="C8">
        <f>VLOOKUP($A8,[2]cross_val_statistics!$A:$K,8,FALSE)</f>
        <v>0.91278405190577261</v>
      </c>
      <c r="D8">
        <f>VLOOKUP($A8,[3]cross_val_statistics!$A:$K,8,FALSE)</f>
        <v>-50.041627960652768</v>
      </c>
      <c r="E8">
        <f>VLOOKUP($A8,[4]cross_val_statistics!$A:$K,8,FALSE)</f>
        <v>-12152.86460103981</v>
      </c>
      <c r="F8">
        <f>VLOOKUP($A8,[5]cross_val_statistics!$A:$K,8,FALSE)</f>
        <v>0.88696328023724713</v>
      </c>
      <c r="G8">
        <f>VLOOKUP($A8,[6]cross_val_statistics!$A:$K,8,FALSE)</f>
        <v>0.97289178819076572</v>
      </c>
      <c r="H8">
        <f>VLOOKUP($A8,[7]cross_val_statistics!$A:$K,8,FALSE)</f>
        <v>0.95643558958569486</v>
      </c>
      <c r="I8">
        <f>VLOOKUP($A8,[8]cross_val_statistics!$A:$K,8,FALSE)</f>
        <v>-68672.805959959253</v>
      </c>
      <c r="J8">
        <f>VLOOKUP($A8,[9]cross_val_statistics!$A:$K,8,FALSE)</f>
        <v>0.84073539677996312</v>
      </c>
    </row>
    <row r="9" spans="1:10" x14ac:dyDescent="0.35">
      <c r="A9" t="s">
        <v>8</v>
      </c>
      <c r="B9">
        <f>VLOOKUP($A9,[1]cross_val_statistics!$A:$K,8,FALSE)</f>
        <v>0.99429409409715375</v>
      </c>
      <c r="C9">
        <f>VLOOKUP($A9,[2]cross_val_statistics!$A:$K,8,FALSE)</f>
        <v>-10679163544.370529</v>
      </c>
      <c r="D9">
        <f>VLOOKUP($A9,[3]cross_val_statistics!$A:$K,8,FALSE)</f>
        <v>-12.899930111242959</v>
      </c>
      <c r="E9">
        <f>VLOOKUP($A9,[4]cross_val_statistics!$A:$K,8,FALSE)</f>
        <v>-9814641.8111737333</v>
      </c>
      <c r="F9">
        <f>VLOOKUP($A9,[5]cross_val_statistics!$A:$K,8,FALSE)</f>
        <v>0.94143161059901748</v>
      </c>
      <c r="G9">
        <f>VLOOKUP($A9,[6]cross_val_statistics!$A:$K,8,FALSE)</f>
        <v>0.98387693846319135</v>
      </c>
      <c r="H9">
        <f>VLOOKUP($A9,[7]cross_val_statistics!$A:$K,8,FALSE)</f>
        <v>0.96960378481846754</v>
      </c>
      <c r="I9">
        <f>VLOOKUP($A9,[8]cross_val_statistics!$A:$K,8,FALSE)</f>
        <v>-3117037.381152486</v>
      </c>
      <c r="J9">
        <f>VLOOKUP($A9,[9]cross_val_statistics!$A:$K,8,FALSE)</f>
        <v>0.87739216596815961</v>
      </c>
    </row>
    <row r="10" spans="1:10" x14ac:dyDescent="0.35">
      <c r="A10" t="s">
        <v>9</v>
      </c>
      <c r="B10">
        <f>VLOOKUP($A10,[1]cross_val_statistics!$A:$K,8,FALSE)</f>
        <v>0.99014038240579738</v>
      </c>
      <c r="C10">
        <f>VLOOKUP($A10,[2]cross_val_statistics!$A:$K,8,FALSE)</f>
        <v>0.94834614952533669</v>
      </c>
      <c r="D10">
        <f>VLOOKUP($A10,[3]cross_val_statistics!$A:$K,8,FALSE)</f>
        <v>-241.7956411857285</v>
      </c>
      <c r="E10">
        <f>VLOOKUP($A10,[4]cross_val_statistics!$A:$K,8,FALSE)</f>
        <v>-55034655.33733765</v>
      </c>
      <c r="F10">
        <f>VLOOKUP($A10,[5]cross_val_statistics!$A:$K,8,FALSE)</f>
        <v>0.94079319737416667</v>
      </c>
      <c r="G10">
        <f>VLOOKUP($A10,[6]cross_val_statistics!$A:$K,8,FALSE)</f>
        <v>0.98631356396899894</v>
      </c>
      <c r="H10">
        <f>VLOOKUP($A10,[7]cross_val_statistics!$A:$K,8,FALSE)</f>
        <v>0.96835803683731181</v>
      </c>
      <c r="I10">
        <f>VLOOKUP($A10,[8]cross_val_statistics!$A:$K,8,FALSE)</f>
        <v>-1012392.775542604</v>
      </c>
      <c r="J10">
        <f>VLOOKUP($A10,[9]cross_val_statistics!$A:$K,8,FALSE)</f>
        <v>0.88927084970537695</v>
      </c>
    </row>
    <row r="11" spans="1:10" x14ac:dyDescent="0.35">
      <c r="A11" t="s">
        <v>10</v>
      </c>
      <c r="B11">
        <f>VLOOKUP($A11,[1]cross_val_statistics!$A:$K,8,FALSE)</f>
        <v>0.95393018028252552</v>
      </c>
      <c r="C11">
        <f>VLOOKUP($A11,[2]cross_val_statistics!$A:$K,8,FALSE)</f>
        <v>0.91552873071469421</v>
      </c>
      <c r="D11">
        <f>VLOOKUP($A11,[3]cross_val_statistics!$A:$K,8,FALSE)</f>
        <v>-58495508.176777557</v>
      </c>
      <c r="E11">
        <f>VLOOKUP($A11,[4]cross_val_statistics!$A:$K,8,FALSE)</f>
        <v>-1712509508463.447</v>
      </c>
      <c r="F11">
        <f>VLOOKUP($A11,[5]cross_val_statistics!$A:$K,8,FALSE)</f>
        <v>0.87339669182302337</v>
      </c>
      <c r="G11">
        <f>VLOOKUP($A11,[6]cross_val_statistics!$A:$K,8,FALSE)</f>
        <v>0.94110986728026214</v>
      </c>
      <c r="H11">
        <f>VLOOKUP($A11,[7]cross_val_statistics!$A:$K,8,FALSE)</f>
        <v>0.92946503498178945</v>
      </c>
      <c r="I11">
        <f>VLOOKUP($A11,[8]cross_val_statistics!$A:$K,8,FALSE)</f>
        <v>-9507075056231.6504</v>
      </c>
      <c r="J11">
        <f>VLOOKUP($A11,[9]cross_val_statistics!$A:$K,8,FALSE)</f>
        <v>0.82703006120475153</v>
      </c>
    </row>
    <row r="12" spans="1:10" x14ac:dyDescent="0.35">
      <c r="A12" t="s">
        <v>19</v>
      </c>
      <c r="B12">
        <f>AVERAGE(B2:B11)</f>
        <v>0.98539366197266243</v>
      </c>
      <c r="C12">
        <f t="shared" ref="C12:J12" si="0">AVERAGE(C2:C11)</f>
        <v>-1067916353.6024811</v>
      </c>
      <c r="D12">
        <f t="shared" si="0"/>
        <v>-5849619.1656169891</v>
      </c>
      <c r="E12">
        <f t="shared" si="0"/>
        <v>-171257438235.31708</v>
      </c>
      <c r="F12">
        <f t="shared" si="0"/>
        <v>0.86151866665569332</v>
      </c>
      <c r="G12">
        <f t="shared" si="0"/>
        <v>0.96924220049239818</v>
      </c>
      <c r="H12">
        <f t="shared" si="0"/>
        <v>0.93690456400127042</v>
      </c>
      <c r="I12">
        <f t="shared" si="0"/>
        <v>-950707931816.42651</v>
      </c>
      <c r="J12">
        <f t="shared" si="0"/>
        <v>0.88380132295190772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43C9-FB4E-4C21-825A-2F853AD6C1C0}">
  <dimension ref="A1:J12"/>
  <sheetViews>
    <sheetView workbookViewId="0">
      <selection activeCell="H13" sqref="H13"/>
    </sheetView>
  </sheetViews>
  <sheetFormatPr defaultRowHeight="14.5" x14ac:dyDescent="0.35"/>
  <cols>
    <col min="1" max="1" width="25" bestFit="1" customWidth="1"/>
  </cols>
  <sheetData>
    <row r="1" spans="1:10" x14ac:dyDescent="0.35"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5">
      <c r="A2" t="s">
        <v>1</v>
      </c>
      <c r="B2">
        <f>VLOOKUP($A2,[10]cross_val_statistics!$A:$K,8,FALSE)</f>
        <v>0.97805849184720484</v>
      </c>
      <c r="C2">
        <f>VLOOKUP($A2,[11]cross_val_statistics!$A:$K,8,FALSE)</f>
        <v>0.97129691347941127</v>
      </c>
      <c r="D2">
        <f>VLOOKUP($A2,[12]cross_val_statistics!$A:$K,8,FALSE)</f>
        <v>0.7632980651291289</v>
      </c>
      <c r="E2">
        <f>VLOOKUP($A2,[13]cross_val_statistics!$A:$K,8,FALSE)</f>
        <v>0.74316762240935574</v>
      </c>
      <c r="F2">
        <f>VLOOKUP($A2,[14]cross_val_statistics!$A:$K,8,FALSE)</f>
        <v>0.95232153357469895</v>
      </c>
      <c r="G2">
        <f>VLOOKUP($A2,[15]cross_val_statistics!$A:$K,8,FALSE)</f>
        <v>0.97845917492776169</v>
      </c>
      <c r="H2">
        <f>VLOOKUP($A2,[16]cross_val_statistics!$A:$K,8,FALSE)</f>
        <v>0.97657030387461907</v>
      </c>
      <c r="I2">
        <f>VLOOKUP($A2,[17]cross_val_statistics!$A:$K,8,FALSE)</f>
        <v>-2.4463292014180071</v>
      </c>
      <c r="J2">
        <f>VLOOKUP($A2,[18]cross_val_statistics!$A:$K,8,FALSE)</f>
        <v>0.97035477876055709</v>
      </c>
    </row>
    <row r="3" spans="1:10" x14ac:dyDescent="0.35">
      <c r="A3" t="s">
        <v>2</v>
      </c>
      <c r="B3">
        <f>VLOOKUP($A3,[10]cross_val_statistics!$A:$K,8,FALSE)</f>
        <v>0.9940634732957605</v>
      </c>
      <c r="C3">
        <f>VLOOKUP($A3,[11]cross_val_statistics!$A:$K,8,FALSE)</f>
        <v>0.98762663726750155</v>
      </c>
      <c r="D3">
        <f>VLOOKUP($A3,[12]cross_val_statistics!$A:$K,8,FALSE)</f>
        <v>0.77318979045911029</v>
      </c>
      <c r="E3">
        <f>VLOOKUP($A3,[13]cross_val_statistics!$A:$K,8,FALSE)</f>
        <v>0.78580242236502396</v>
      </c>
      <c r="F3">
        <f>VLOOKUP($A3,[14]cross_val_statistics!$A:$K,8,FALSE)</f>
        <v>0.95690853454632818</v>
      </c>
      <c r="G3">
        <f>VLOOKUP($A3,[15]cross_val_statistics!$A:$K,8,FALSE)</f>
        <v>0.99277180576737689</v>
      </c>
      <c r="H3">
        <f>VLOOKUP($A3,[16]cross_val_statistics!$A:$K,8,FALSE)</f>
        <v>0.99263129888723789</v>
      </c>
      <c r="I3">
        <f>VLOOKUP($A3,[17]cross_val_statistics!$A:$K,8,FALSE)</f>
        <v>0.79172247816105779</v>
      </c>
      <c r="J3">
        <f>VLOOKUP($A3,[18]cross_val_statistics!$A:$K,8,FALSE)</f>
        <v>0.96573775899493608</v>
      </c>
    </row>
    <row r="4" spans="1:10" x14ac:dyDescent="0.35">
      <c r="A4" t="s">
        <v>3</v>
      </c>
      <c r="B4">
        <f>VLOOKUP($A4,[10]cross_val_statistics!$A:$K,8,FALSE)</f>
        <v>0.98638723786002491</v>
      </c>
      <c r="C4">
        <f>VLOOKUP($A4,[11]cross_val_statistics!$A:$K,8,FALSE)</f>
        <v>0.97951822959540669</v>
      </c>
      <c r="D4">
        <f>VLOOKUP($A4,[12]cross_val_statistics!$A:$K,8,FALSE)</f>
        <v>0.74442466460612589</v>
      </c>
      <c r="E4">
        <f>VLOOKUP($A4,[13]cross_val_statistics!$A:$K,8,FALSE)</f>
        <v>0.80380363202236749</v>
      </c>
      <c r="F4">
        <f>VLOOKUP($A4,[14]cross_val_statistics!$A:$K,8,FALSE)</f>
        <v>0.94664059935473266</v>
      </c>
      <c r="G4">
        <f>VLOOKUP($A4,[15]cross_val_statistics!$A:$K,8,FALSE)</f>
        <v>0.98727519615838588</v>
      </c>
      <c r="H4">
        <f>VLOOKUP($A4,[16]cross_val_statistics!$A:$K,8,FALSE)</f>
        <v>0.9805451445388409</v>
      </c>
      <c r="I4">
        <f>VLOOKUP($A4,[17]cross_val_statistics!$A:$K,8,FALSE)</f>
        <v>0.79843280763341029</v>
      </c>
      <c r="J4">
        <f>VLOOKUP($A4,[18]cross_val_statistics!$A:$K,8,FALSE)</f>
        <v>0.96143591630086522</v>
      </c>
    </row>
    <row r="5" spans="1:10" x14ac:dyDescent="0.35">
      <c r="A5" t="s">
        <v>4</v>
      </c>
      <c r="B5">
        <f>VLOOKUP($A5,[10]cross_val_statistics!$A:$K,8,FALSE)</f>
        <v>0.98877149530323794</v>
      </c>
      <c r="C5">
        <f>VLOOKUP($A5,[11]cross_val_statistics!$A:$K,8,FALSE)</f>
        <v>0.97681681154412092</v>
      </c>
      <c r="D5">
        <f>VLOOKUP($A5,[12]cross_val_statistics!$A:$K,8,FALSE)</f>
        <v>0.77560644961508651</v>
      </c>
      <c r="E5">
        <f>VLOOKUP($A5,[13]cross_val_statistics!$A:$K,8,FALSE)</f>
        <v>0.81602733123821436</v>
      </c>
      <c r="F5">
        <f>VLOOKUP($A5,[14]cross_val_statistics!$A:$K,8,FALSE)</f>
        <v>0.93859661324331412</v>
      </c>
      <c r="G5">
        <f>VLOOKUP($A5,[15]cross_val_statistics!$A:$K,8,FALSE)</f>
        <v>0.99043822244155832</v>
      </c>
      <c r="H5">
        <f>VLOOKUP($A5,[16]cross_val_statistics!$A:$K,8,FALSE)</f>
        <v>0.98776566006256306</v>
      </c>
      <c r="I5">
        <f>VLOOKUP($A5,[17]cross_val_statistics!$A:$K,8,FALSE)</f>
        <v>0.81156346264498214</v>
      </c>
      <c r="J5">
        <f>VLOOKUP($A5,[18]cross_val_statistics!$A:$K,8,FALSE)</f>
        <v>0.96634726722315956</v>
      </c>
    </row>
    <row r="6" spans="1:10" x14ac:dyDescent="0.35">
      <c r="A6" t="s">
        <v>5</v>
      </c>
      <c r="B6">
        <f>VLOOKUP($A6,[10]cross_val_statistics!$A:$K,8,FALSE)</f>
        <v>0.98714126200291952</v>
      </c>
      <c r="C6">
        <f>VLOOKUP($A6,[11]cross_val_statistics!$A:$K,8,FALSE)</f>
        <v>0.97834617893033271</v>
      </c>
      <c r="D6">
        <f>VLOOKUP($A6,[12]cross_val_statistics!$A:$K,8,FALSE)</f>
        <v>0.79118606142385262</v>
      </c>
      <c r="E6">
        <f>VLOOKUP($A6,[13]cross_val_statistics!$A:$K,8,FALSE)</f>
        <v>0.81903569214414307</v>
      </c>
      <c r="F6">
        <f>VLOOKUP($A6,[14]cross_val_statistics!$A:$K,8,FALSE)</f>
        <v>0.94888608691060361</v>
      </c>
      <c r="G6">
        <f>VLOOKUP($A6,[15]cross_val_statistics!$A:$K,8,FALSE)</f>
        <v>0.98565904083030031</v>
      </c>
      <c r="H6">
        <f>VLOOKUP($A6,[16]cross_val_statistics!$A:$K,8,FALSE)</f>
        <v>0.98605189199200949</v>
      </c>
      <c r="I6">
        <f>VLOOKUP($A6,[17]cross_val_statistics!$A:$K,8,FALSE)</f>
        <v>0.81333760449840642</v>
      </c>
      <c r="J6">
        <f>VLOOKUP($A6,[18]cross_val_statistics!$A:$K,8,FALSE)</f>
        <v>0.96288235935817623</v>
      </c>
    </row>
    <row r="7" spans="1:10" x14ac:dyDescent="0.35">
      <c r="A7" t="s">
        <v>6</v>
      </c>
      <c r="B7">
        <f>VLOOKUP($A7,[10]cross_val_statistics!$A:$K,8,FALSE)</f>
        <v>0.99392727456080254</v>
      </c>
      <c r="C7">
        <f>VLOOKUP($A7,[11]cross_val_statistics!$A:$K,8,FALSE)</f>
        <v>0.98832691121219174</v>
      </c>
      <c r="D7">
        <f>VLOOKUP($A7,[12]cross_val_statistics!$A:$K,8,FALSE)</f>
        <v>0.76979856858825912</v>
      </c>
      <c r="E7">
        <f>VLOOKUP($A7,[13]cross_val_statistics!$A:$K,8,FALSE)</f>
        <v>0.78002098028114164</v>
      </c>
      <c r="F7">
        <f>VLOOKUP($A7,[14]cross_val_statistics!$A:$K,8,FALSE)</f>
        <v>0.95681328815974831</v>
      </c>
      <c r="G7">
        <f>VLOOKUP($A7,[15]cross_val_statistics!$A:$K,8,FALSE)</f>
        <v>0.99251261590315587</v>
      </c>
      <c r="H7">
        <f>VLOOKUP($A7,[16]cross_val_statistics!$A:$K,8,FALSE)</f>
        <v>0.99258806950691481</v>
      </c>
      <c r="I7">
        <f>VLOOKUP($A7,[17]cross_val_statistics!$A:$K,8,FALSE)</f>
        <v>0.78801608356214559</v>
      </c>
      <c r="J7">
        <f>VLOOKUP($A7,[18]cross_val_statistics!$A:$K,8,FALSE)</f>
        <v>0.96526159251637811</v>
      </c>
    </row>
    <row r="8" spans="1:10" x14ac:dyDescent="0.35">
      <c r="A8" t="s">
        <v>7</v>
      </c>
      <c r="B8">
        <f>VLOOKUP($A8,[10]cross_val_statistics!$A:$K,8,FALSE)</f>
        <v>0.99393455327080071</v>
      </c>
      <c r="C8">
        <f>VLOOKUP($A8,[11]cross_val_statistics!$A:$K,8,FALSE)</f>
        <v>0.98812308431065432</v>
      </c>
      <c r="D8">
        <f>VLOOKUP($A8,[12]cross_val_statistics!$A:$K,8,FALSE)</f>
        <v>0.76914343260405493</v>
      </c>
      <c r="E8">
        <f>VLOOKUP($A8,[13]cross_val_statistics!$A:$K,8,FALSE)</f>
        <v>0.7799576632959434</v>
      </c>
      <c r="F8">
        <f>VLOOKUP($A8,[14]cross_val_statistics!$A:$K,8,FALSE)</f>
        <v>0.9568556565956744</v>
      </c>
      <c r="G8">
        <f>VLOOKUP($A8,[15]cross_val_statistics!$A:$K,8,FALSE)</f>
        <v>0.99231405407555295</v>
      </c>
      <c r="H8">
        <f>VLOOKUP($A8,[16]cross_val_statistics!$A:$K,8,FALSE)</f>
        <v>0.99256796631999733</v>
      </c>
      <c r="I8">
        <f>VLOOKUP($A8,[17]cross_val_statistics!$A:$K,8,FALSE)</f>
        <v>0.78802650490613557</v>
      </c>
      <c r="J8">
        <f>VLOOKUP($A8,[18]cross_val_statistics!$A:$K,8,FALSE)</f>
        <v>0.96497174273433506</v>
      </c>
    </row>
    <row r="9" spans="1:10" x14ac:dyDescent="0.35">
      <c r="A9" t="s">
        <v>8</v>
      </c>
      <c r="B9">
        <f>VLOOKUP($A9,[10]cross_val_statistics!$A:$K,8,FALSE)</f>
        <v>0.96335555414100349</v>
      </c>
      <c r="C9">
        <f>VLOOKUP($A9,[11]cross_val_statistics!$A:$K,8,FALSE)</f>
        <v>0.95767144488170575</v>
      </c>
      <c r="D9">
        <f>VLOOKUP($A9,[12]cross_val_statistics!$A:$K,8,FALSE)</f>
        <v>0.67709279739504813</v>
      </c>
      <c r="E9">
        <f>VLOOKUP($A9,[13]cross_val_statistics!$A:$K,8,FALSE)</f>
        <v>0.69672258122334507</v>
      </c>
      <c r="F9">
        <f>VLOOKUP($A9,[14]cross_val_statistics!$A:$K,8,FALSE)</f>
        <v>0.92652211871919621</v>
      </c>
      <c r="G9">
        <f>VLOOKUP($A9,[15]cross_val_statistics!$A:$K,8,FALSE)</f>
        <v>0.95373141422605645</v>
      </c>
      <c r="H9">
        <f>VLOOKUP($A9,[16]cross_val_statistics!$A:$K,8,FALSE)</f>
        <v>0.96318549595485548</v>
      </c>
      <c r="I9">
        <f>VLOOKUP($A9,[17]cross_val_statistics!$A:$K,8,FALSE)</f>
        <v>0.21850946897307541</v>
      </c>
      <c r="J9">
        <f>VLOOKUP($A9,[18]cross_val_statistics!$A:$K,8,FALSE)</f>
        <v>0.94253014546213021</v>
      </c>
    </row>
    <row r="10" spans="1:10" x14ac:dyDescent="0.35">
      <c r="A10" t="s">
        <v>9</v>
      </c>
      <c r="B10">
        <f>VLOOKUP($A10,[10]cross_val_statistics!$A:$K,8,FALSE)</f>
        <v>0.97587614314177029</v>
      </c>
      <c r="C10">
        <f>VLOOKUP($A10,[11]cross_val_statistics!$A:$K,8,FALSE)</f>
        <v>0.96400246932744493</v>
      </c>
      <c r="D10">
        <f>VLOOKUP($A10,[12]cross_val_statistics!$A:$K,8,FALSE)</f>
        <v>0.75414876961676491</v>
      </c>
      <c r="E10">
        <f>VLOOKUP($A10,[13]cross_val_statistics!$A:$K,8,FALSE)</f>
        <v>0.76191268107287247</v>
      </c>
      <c r="F10">
        <f>VLOOKUP($A10,[14]cross_val_statistics!$A:$K,8,FALSE)</f>
        <v>0.94973566897399486</v>
      </c>
      <c r="G10">
        <f>VLOOKUP($A10,[15]cross_val_statistics!$A:$K,8,FALSE)</f>
        <v>0.97612938450927711</v>
      </c>
      <c r="H10">
        <f>VLOOKUP($A10,[16]cross_val_statistics!$A:$K,8,FALSE)</f>
        <v>0.97566397017838624</v>
      </c>
      <c r="I10">
        <f>VLOOKUP($A10,[17]cross_val_statistics!$A:$K,8,FALSE)</f>
        <v>-1.392922622677671</v>
      </c>
      <c r="J10">
        <f>VLOOKUP($A10,[18]cross_val_statistics!$A:$K,8,FALSE)</f>
        <v>0.96705403483940522</v>
      </c>
    </row>
    <row r="11" spans="1:10" x14ac:dyDescent="0.35">
      <c r="A11" t="s">
        <v>10</v>
      </c>
      <c r="B11">
        <f>VLOOKUP($A11,[10]cross_val_statistics!$A:$K,8,FALSE)</f>
        <v>0.937994718047093</v>
      </c>
      <c r="C11">
        <f>VLOOKUP($A11,[11]cross_val_statistics!$A:$K,8,FALSE)</f>
        <v>0.91470639563154421</v>
      </c>
      <c r="D11">
        <f>VLOOKUP($A11,[12]cross_val_statistics!$A:$K,8,FALSE)</f>
        <v>0.65356835416866677</v>
      </c>
      <c r="E11">
        <f>VLOOKUP($A11,[13]cross_val_statistics!$A:$K,8,FALSE)</f>
        <v>-102.2298507404164</v>
      </c>
      <c r="F11">
        <f>VLOOKUP($A11,[14]cross_val_statistics!$A:$K,8,FALSE)</f>
        <v>0.83945472371931906</v>
      </c>
      <c r="G11">
        <f>VLOOKUP($A11,[15]cross_val_statistics!$A:$K,8,FALSE)</f>
        <v>0.92515617403739137</v>
      </c>
      <c r="H11">
        <f>VLOOKUP($A11,[16]cross_val_statistics!$A:$K,8,FALSE)</f>
        <v>0.9216987805917396</v>
      </c>
      <c r="I11">
        <f>VLOOKUP($A11,[17]cross_val_statistics!$A:$K,8,FALSE)</f>
        <v>-952677.9196360897</v>
      </c>
      <c r="J11">
        <f>VLOOKUP($A11,[18]cross_val_statistics!$A:$K,8,FALSE)</f>
        <v>0.85467748180786884</v>
      </c>
    </row>
    <row r="12" spans="1:10" x14ac:dyDescent="0.35">
      <c r="A12" t="s">
        <v>19</v>
      </c>
      <c r="B12">
        <f>AVERAGE(B2:B11)</f>
        <v>0.97995102034706183</v>
      </c>
      <c r="C12">
        <f t="shared" ref="C12:J12" si="0">AVERAGE(C2:C11)</f>
        <v>0.97064350761803142</v>
      </c>
      <c r="D12">
        <f t="shared" si="0"/>
        <v>0.74714569536060971</v>
      </c>
      <c r="E12">
        <f t="shared" si="0"/>
        <v>-9.5243400134363991</v>
      </c>
      <c r="F12">
        <f t="shared" si="0"/>
        <v>0.93727348237976105</v>
      </c>
      <c r="G12">
        <f t="shared" si="0"/>
        <v>0.97744470828768171</v>
      </c>
      <c r="H12">
        <f t="shared" si="0"/>
        <v>0.97692685819071645</v>
      </c>
      <c r="I12">
        <f t="shared" si="0"/>
        <v>-95267.674927950342</v>
      </c>
      <c r="J12">
        <f t="shared" si="0"/>
        <v>0.95212530779978111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clarifier</vt:lpstr>
      <vt:lpstr>cstr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Egberto Selerio Jr.</dc:creator>
  <cp:lastModifiedBy>Egberto Selerio Jr.</cp:lastModifiedBy>
  <dcterms:created xsi:type="dcterms:W3CDTF">2025-08-05T15:51:01Z</dcterms:created>
  <dcterms:modified xsi:type="dcterms:W3CDTF">2025-08-08T11:22:29Z</dcterms:modified>
</cp:coreProperties>
</file>