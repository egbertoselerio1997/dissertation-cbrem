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ggy\dissertation-files-final\bioreactor-implementation-june\data\"/>
    </mc:Choice>
  </mc:AlternateContent>
  <xr:revisionPtr revIDLastSave="0" documentId="13_ncr:1_{C242CD49-6D66-43C9-8786-0E163330B808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influent_compound_conc" sheetId="4" r:id="rId1"/>
    <sheet name="config" sheetId="1" r:id="rId2"/>
    <sheet name="decision_var" sheetId="2" r:id="rId3"/>
    <sheet name="decision_var_bound" sheetId="3" r:id="rId4"/>
    <sheet name="fuzzy_goal" sheetId="6" r:id="rId5"/>
    <sheet name="cost_var_clarifier" sheetId="9" r:id="rId6"/>
    <sheet name="capex_calc_clarifier" sheetId="10" r:id="rId7"/>
    <sheet name="cost_var_cstr" sheetId="11" r:id="rId8"/>
    <sheet name="capex_calc_cstr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5" i="3"/>
  <c r="B9" i="6"/>
  <c r="C9" i="6" s="1"/>
  <c r="C7" i="3"/>
  <c r="C9" i="3"/>
  <c r="C8" i="3"/>
  <c r="C8" i="6"/>
  <c r="C6" i="3"/>
  <c r="C3" i="3"/>
</calcChain>
</file>

<file path=xl/sharedStrings.xml><?xml version="1.0" encoding="utf-8"?>
<sst xmlns="http://schemas.openxmlformats.org/spreadsheetml/2006/main" count="374" uniqueCount="315">
  <si>
    <t>Parameter</t>
  </si>
  <si>
    <t>Value</t>
  </si>
  <si>
    <t>model_path</t>
  </si>
  <si>
    <t>I_variables</t>
  </si>
  <si>
    <t>flow_rate</t>
  </si>
  <si>
    <t>Variable</t>
  </si>
  <si>
    <t>LowerBound</t>
  </si>
  <si>
    <t>UpperBound</t>
  </si>
  <si>
    <t>inf_S_I</t>
  </si>
  <si>
    <t>inf_X_I</t>
  </si>
  <si>
    <t>inf_S_F</t>
  </si>
  <si>
    <t>inf_S_A</t>
  </si>
  <si>
    <t>inf_X_S</t>
  </si>
  <si>
    <t>inf_S_NH4</t>
  </si>
  <si>
    <t>inf_S_N2</t>
  </si>
  <si>
    <t>inf_S_NO3</t>
  </si>
  <si>
    <t>inf_S_PO4</t>
  </si>
  <si>
    <t>inf_X_PP</t>
  </si>
  <si>
    <t>inf_X_PHA</t>
  </si>
  <si>
    <t>inf_X_H</t>
  </si>
  <si>
    <t>inf_X_AUT</t>
  </si>
  <si>
    <t>inf_X_PAO</t>
  </si>
  <si>
    <t>inf_S_ALK</t>
  </si>
  <si>
    <t>Goal</t>
  </si>
  <si>
    <t>Target</t>
  </si>
  <si>
    <t>Max</t>
  </si>
  <si>
    <t>CAPEX</t>
  </si>
  <si>
    <t>AOC</t>
  </si>
  <si>
    <t>models\clarifier\clarifier.joblib</t>
  </si>
  <si>
    <t>Q_was</t>
  </si>
  <si>
    <t>Q_ext</t>
  </si>
  <si>
    <t>O3_split_internal</t>
  </si>
  <si>
    <t>C1_surface_area</t>
  </si>
  <si>
    <t>C1_height</t>
  </si>
  <si>
    <t>Description</t>
  </si>
  <si>
    <t>unit_cost_concrete</t>
  </si>
  <si>
    <t>pump_efficiency</t>
  </si>
  <si>
    <t>electricity_price</t>
  </si>
  <si>
    <t>labor_rate</t>
  </si>
  <si>
    <t>g</t>
  </si>
  <si>
    <t>Output Variable</t>
  </si>
  <si>
    <t>Calculation</t>
  </si>
  <si>
    <t>Target_Effluent_S_NH4 (mg/L)</t>
  </si>
  <si>
    <t>Target_Effluent_S_NO3 (mg/L)</t>
  </si>
  <si>
    <t>Source of Standard</t>
  </si>
  <si>
    <t>Notes</t>
  </si>
  <si>
    <t>Target_Effluent_COD (mg/L)</t>
  </si>
  <si>
    <t>Philippines: DENR Administrative Order 2016-08[1]</t>
  </si>
  <si>
    <t>Target_Effluent_BOD (mg/L)</t>
  </si>
  <si>
    <t>Target_Effluent_TP (mg/L)</t>
  </si>
  <si>
    <t>Target_Effluent_TSS (mg/L)</t>
  </si>
  <si>
    <t>Limits are dependent on the classification of the receiving water body.</t>
  </si>
  <si>
    <t>Limits vary depending on the classification of the receiving water body (Class A, B, C, D for freshwater and SA, SB, SC, SD for marine water).[1][2] For establishments with influent BOD ≥ 3,000 mg/L discharging to specific water classes, different standards may apply.[1][3]</t>
  </si>
  <si>
    <t>Limits vary based on the classification of the receiving water body. For establishments with influent BOD ≥ 3,000 mg/L, specific effluent standards for BOD are enforced.[3][4]</t>
  </si>
  <si>
    <t>Philippines: DENR Administrative Order 2021-19[9][10]</t>
  </si>
  <si>
    <t>The standard is for Phosphate as P and the limit varies depending on the classification of the receiving water body.[9][10]</t>
  </si>
  <si>
    <t>Philippines: DENR Administrative Order 2021-19</t>
  </si>
  <si>
    <t>The limits for Ammonia as NH₃-N were updated in DAO 2021-19 and vary depending on the water body classification. For Class AA (freshwater) and SA (marine water), the standard is No Discharge Allowed (NDA).[3][4]</t>
  </si>
  <si>
    <t>Philippines: DENR Administrative Order 2016-08</t>
  </si>
  <si>
    <t>The limits vary depending on the classification of the receiving water body.[5][6]</t>
  </si>
  <si>
    <t>n/a</t>
  </si>
  <si>
    <t>V</t>
  </si>
  <si>
    <t>Volume of the aerobic CSTR reactor [m³]</t>
  </si>
  <si>
    <t>KLa</t>
  </si>
  <si>
    <t>Required volumetric mass transfer coefficient [d⁻¹]</t>
  </si>
  <si>
    <t>DO_setpoint</t>
  </si>
  <si>
    <t>Desired Dissolved Oxygen concentration in the reactor [g/m³ or mg/L]</t>
  </si>
  <si>
    <t>T</t>
  </si>
  <si>
    <t>Operating temperature of the wastewater [°C]</t>
  </si>
  <si>
    <t>alpha_factor</t>
  </si>
  <si>
    <t>Correction factor for oxygen transfer in wastewater vs clean water [-]</t>
  </si>
  <si>
    <t>beta_factor</t>
  </si>
  <si>
    <t>Correction factor for oxygen saturation in wastewater vs clean water [-]</t>
  </si>
  <si>
    <t>C_s_20</t>
  </si>
  <si>
    <t>Saturation concentration of oxygen in clean water at 20°C, 1 atm [g/m³]</t>
  </si>
  <si>
    <t>tank_H_to_D_ratio</t>
  </si>
  <si>
    <t>Target ratio of height to diameter for the cylindrical tank [-]</t>
  </si>
  <si>
    <t>tank_freeboard</t>
  </si>
  <si>
    <t>Additional height of the tank wall above the water level [m]</t>
  </si>
  <si>
    <t>concrete_volume_factor</t>
  </si>
  <si>
    <t>blower_pressure_head</t>
  </si>
  <si>
    <t>Pressure required from the blower to overcome hydrostatic pressure and losses [Pa]</t>
  </si>
  <si>
    <t>blower_efficiency</t>
  </si>
  <si>
    <t>Overall efficiency of the blower and motor combination [-]</t>
  </si>
  <si>
    <t>SOTE</t>
  </si>
  <si>
    <t>Standard Oxygen Transfer Efficiency of the selected diffusers [-]</t>
  </si>
  <si>
    <t>diffuser_density</t>
  </si>
  <si>
    <t>Number of diffuser units required per square meter of tank floor [units/m²]</t>
  </si>
  <si>
    <t>mixing_energy_density</t>
  </si>
  <si>
    <t>Power input required for complete mixing [W/m³]</t>
  </si>
  <si>
    <t>air_density_kg_m3</t>
  </si>
  <si>
    <t>Density of air at standard conditions [ kg/m ³]</t>
  </si>
  <si>
    <t>air_O2_percent_mass</t>
  </si>
  <si>
    <t>Mass percentage of oxygen in air [-]</t>
  </si>
  <si>
    <t>All-in cost for reinforced concrete, including labor and formwork [USD/m³]</t>
  </si>
  <si>
    <t>unit_cost_excavation</t>
  </si>
  <si>
    <t>Cost of excavation per cubic meter [USD/m³]</t>
  </si>
  <si>
    <t>unit_cost_blower</t>
  </si>
  <si>
    <t>Cost per kilowatt of blower power [USD/kW]</t>
  </si>
  <si>
    <t>unit_cost_diffuser</t>
  </si>
  <si>
    <t>Cost per diffuser unit [USD/unit]</t>
  </si>
  <si>
    <t>unit_cost_mixer</t>
  </si>
  <si>
    <t>Cost per kilowatt of mixer power [USD/kW]</t>
  </si>
  <si>
    <t>factor_cost_piping</t>
  </si>
  <si>
    <t>Piping &amp; valve costs as a fraction of total equipment cost [-]</t>
  </si>
  <si>
    <t>factor_cost_instr</t>
  </si>
  <si>
    <t>Instrumentation &amp; control costs as a fraction of total equipment cost [-]</t>
  </si>
  <si>
    <t>factor_contingency</t>
  </si>
  <si>
    <t>Contingency as a fraction of the subtotal CAPEX [-]</t>
  </si>
  <si>
    <t>Sludge wastage flowrate [m³/d]</t>
  </si>
  <si>
    <t>External recycle flowrate from C1 to A1 [m³/d]</t>
  </si>
  <si>
    <t>Clarifier surface area [m²]</t>
  </si>
  <si>
    <t>Clarifier side water depth [m]</t>
  </si>
  <si>
    <t>All-in cost for reinforced concrete [USD/m³]</t>
  </si>
  <si>
    <t>unit_cost_scraper</t>
  </si>
  <si>
    <t>Cost of scraper mechanism per square meter of clarifier area [USD/m²]</t>
  </si>
  <si>
    <t>unit_cost_pump</t>
  </si>
  <si>
    <t>Cost per kilowatt of installed pump power [USD/kW]</t>
  </si>
  <si>
    <t>unit_cost_electricity</t>
  </si>
  <si>
    <t>Blended cost of electricity [USD/kWh]</t>
  </si>
  <si>
    <t>pump_head</t>
  </si>
  <si>
    <t>Total dynamic head for RAS and WAS pumps [m]</t>
  </si>
  <si>
    <t>Overall efficiency of the pump and motor system [-]</t>
  </si>
  <si>
    <t>scraper_power_density</t>
  </si>
  <si>
    <t>Power required for the scraper drive per unit area [kW/m²]</t>
  </si>
  <si>
    <t>Acceleration due to gravity [m/s²]</t>
  </si>
  <si>
    <t>water_density</t>
  </si>
  <si>
    <t>Density of water [ kg/m ³]</t>
  </si>
  <si>
    <t>annual_op_days</t>
  </si>
  <si>
    <t>Number of operating days per year [d]</t>
  </si>
  <si>
    <t>factor_civil_contingency</t>
  </si>
  <si>
    <t>Contingency as a fraction of civil works cost [-]</t>
  </si>
  <si>
    <t>factor_mech_contingency</t>
  </si>
  <si>
    <t>Contingency as a fraction of mechanical equipment cost [-]</t>
  </si>
  <si>
    <t>factor_eng_design</t>
  </si>
  <si>
    <t>Engineering and design costs as a fraction of subtotal CAPEX [-]</t>
  </si>
  <si>
    <t>aoc_maintenance_factor</t>
  </si>
  <si>
    <t>Annual maintenance cost as a fraction of equipment CAPEX [-]</t>
  </si>
  <si>
    <t>annual_labor_hours</t>
  </si>
  <si>
    <t>Annual labor hours for operation and monitoring [hr/year]</t>
  </si>
  <si>
    <t>Blended hourly rate for operational labor [USD/hr]</t>
  </si>
  <si>
    <t>C1_volume</t>
  </si>
  <si>
    <t>Total volume of the clarifier [m³]</t>
  </si>
  <si>
    <t>C1_surface_area * C1_height</t>
  </si>
  <si>
    <t>C1_diameter</t>
  </si>
  <si>
    <t>Diameter of the circular clarifier [m]</t>
  </si>
  <si>
    <t>(4 * C1_surface_area / 3.14159)**0.5</t>
  </si>
  <si>
    <t>cost_excavation</t>
  </si>
  <si>
    <t>Cost for clarifier excavation [USD]</t>
  </si>
  <si>
    <t>C1_volume * unit_cost_excavation</t>
  </si>
  <si>
    <t>cost_concrete</t>
  </si>
  <si>
    <t>Cost for clarifier concrete structure [USD]</t>
  </si>
  <si>
    <t>C1_volume * unit_cost_concrete</t>
  </si>
  <si>
    <t>cost_civil_subtotal</t>
  </si>
  <si>
    <t>Subtotal cost for civil works [USD]</t>
  </si>
  <si>
    <t>cost_excavation + cost_concrete</t>
  </si>
  <si>
    <t>cost_civil_total</t>
  </si>
  <si>
    <t>Total civil works cost with contingency [USD]</t>
  </si>
  <si>
    <t>cost_civil_subtotal * (1 + factor_civil_contingency)</t>
  </si>
  <si>
    <t>cost_scraper_equip</t>
  </si>
  <si>
    <t>Capital cost of the scraper mechanism [USD]</t>
  </si>
  <si>
    <t>C1_surface_area * unit_cost_scraper</t>
  </si>
  <si>
    <t>pump_power_kW_ext</t>
  </si>
  <si>
    <t>Required power for the external recycle (RAS) pump [kW]</t>
  </si>
  <si>
    <t>(Q_ext / (24 * 3600)) * water_density * g * pump_head / (pump_efficiency * 1000)</t>
  </si>
  <si>
    <t>pump_power_kW_was</t>
  </si>
  <si>
    <t>Required power for the sludge wastage (WAS) pump [kW]</t>
  </si>
  <si>
    <t>(Q_was / (24 * 3600)) * water_density * g * pump_head / (pump_efficiency * 1000)</t>
  </si>
  <si>
    <t>pump_power_total_kW</t>
  </si>
  <si>
    <t>Total installed pump power [kW]</t>
  </si>
  <si>
    <t>pump_power_kW_ext + pump_power_kW_was</t>
  </si>
  <si>
    <t>cost_pump_equip</t>
  </si>
  <si>
    <t>Capital cost of all pumps [USD]</t>
  </si>
  <si>
    <t>pump_power_total_kW * unit_cost_pump</t>
  </si>
  <si>
    <t>cost_equipment_subtotal</t>
  </si>
  <si>
    <t>Subtotal cost for mechanical equipment [USD]</t>
  </si>
  <si>
    <t>cost_scraper_equip + cost_pump_equip</t>
  </si>
  <si>
    <t>cost_equipment_total</t>
  </si>
  <si>
    <t>Total mechanical equipment cost with contingency [USD]</t>
  </si>
  <si>
    <t>cost_equipment_subtotal * (1 + factor_mech_contingency)</t>
  </si>
  <si>
    <t>capex_subtotal</t>
  </si>
  <si>
    <t>Subtotal project cost before engineering [USD]</t>
  </si>
  <si>
    <t>cost_civil_total + cost_equipment_total</t>
  </si>
  <si>
    <t>cost_engineering</t>
  </si>
  <si>
    <t>Cost for engineering and design [USD]</t>
  </si>
  <si>
    <t>capex_subtotal * factor_eng_design</t>
  </si>
  <si>
    <t>capex_subtotal + cost_engineering</t>
  </si>
  <si>
    <t>scraper_power_kW</t>
  </si>
  <si>
    <t>Operational power for the scraper drive [kW]</t>
  </si>
  <si>
    <t>C1_surface_area * scraper_power_density</t>
  </si>
  <si>
    <t>aoc_energy_pumping</t>
  </si>
  <si>
    <t>Annual energy cost for pumping (RAS + WAS) [USD/year]</t>
  </si>
  <si>
    <t>pump_power_total_kW * 24 * annual_op_days * unit_cost_electricity</t>
  </si>
  <si>
    <t>aoc_energy_scraper</t>
  </si>
  <si>
    <t>Annual energy cost for the scraper mechanism [USD/year]</t>
  </si>
  <si>
    <t>scraper_power_kW * 24 * annual_op_days * unit_cost_electricity</t>
  </si>
  <si>
    <t>aoc_energy_total</t>
  </si>
  <si>
    <t>Total annual cost for energy [USD/year]</t>
  </si>
  <si>
    <t>aoc_energy_pumping + aoc_energy_scraper</t>
  </si>
  <si>
    <t>aoc_maintenance</t>
  </si>
  <si>
    <t>Annual cost for maintenance [USD/year]</t>
  </si>
  <si>
    <t>cost_equipment_total * aoc_maintenance_factor</t>
  </si>
  <si>
    <t>aoc_labor</t>
  </si>
  <si>
    <t>Annual cost for operational labor [USD/year]</t>
  </si>
  <si>
    <t>annual_labor_hours * labor_rate</t>
  </si>
  <si>
    <t>aoc_energy_total + aoc_maintenance + aoc_labor</t>
  </si>
  <si>
    <t>C_s_T</t>
  </si>
  <si>
    <t>Oxygen saturation concentration at operating temperature T [g/m³]</t>
  </si>
  <si>
    <t>C_s_20 * (0.9777** (T - 20))</t>
  </si>
  <si>
    <t>tank_diameter</t>
  </si>
  <si>
    <t>Calculated diameter of the cylindrical reactor [m]</t>
  </si>
  <si>
    <t>((4 * V) / (3.14159 * tank_H_to_D_ratio))**(1/3)</t>
  </si>
  <si>
    <t>tank_water_depth</t>
  </si>
  <si>
    <t>Calculated water depth in the reactor [m]</t>
  </si>
  <si>
    <t>tank_diameter * tank_H_to_D_ratio</t>
  </si>
  <si>
    <t>tank_total_height</t>
  </si>
  <si>
    <t>Total height of the reactor including freeboard [m]</t>
  </si>
  <si>
    <t>tank_water_depth + tank_freeboard</t>
  </si>
  <si>
    <t>tank_excavation_vol</t>
  </si>
  <si>
    <t>Volume of excavation required for the tank [m³]</t>
  </si>
  <si>
    <t>(3.14159 / 4) * (tank_diameter**2) * tank_total_height</t>
  </si>
  <si>
    <t>tank_concrete_vol</t>
  </si>
  <si>
    <t>cost_civil</t>
  </si>
  <si>
    <t>Total cost for tank excavation and construction [USD]</t>
  </si>
  <si>
    <t>(tank_excavation_vol * unit_cost_excavation) + (tank_concrete_vol * unit_cost_concrete)</t>
  </si>
  <si>
    <t>AOR_kg_d</t>
  </si>
  <si>
    <t>Actual Oxygen Requirement for the process [kg O₂/d]</t>
  </si>
  <si>
    <t>SOTR_kg_d</t>
  </si>
  <si>
    <t>Standard Oxygen Transfer Rate required [kg O₂/d]</t>
  </si>
  <si>
    <t>AOR_kg_d / (alpha_factor * ((beta_factor * C_s_T - DO_setpoint) / C_s_20) * (1.024**(T - 20)))</t>
  </si>
  <si>
    <t>required_airflow_m3_s</t>
  </si>
  <si>
    <t>Required airflow from blowers at standard conditions [m³/s]</t>
  </si>
  <si>
    <t>(SOTR_kg_d / (24 * 3600)) / (SOTE * air_density_kg_m3 * air_O2_percent_mass)</t>
  </si>
  <si>
    <t>blower_power_kW</t>
  </si>
  <si>
    <t>Required electrical power for the blowers [kW]</t>
  </si>
  <si>
    <t>(required_airflow_m3_s * blower_pressure_head) / (blower_efficiency * 1000)</t>
  </si>
  <si>
    <t>cost_blower</t>
  </si>
  <si>
    <t>Capital cost of the blower system [USD]</t>
  </si>
  <si>
    <t>blower_power_kW * unit_cost_blower</t>
  </si>
  <si>
    <t>tank_floor_area</t>
  </si>
  <si>
    <t>Floor area of the reactor tank [m²]</t>
  </si>
  <si>
    <t>(3.14159 / 4) * (tank_diameter**2)</t>
  </si>
  <si>
    <t>num_diffusers</t>
  </si>
  <si>
    <t>Total number of diffusers required</t>
  </si>
  <si>
    <t>tank_floor_area * diffuser_density</t>
  </si>
  <si>
    <t>cost_diffusers</t>
  </si>
  <si>
    <t>Capital cost of the diffuser system [USD]</t>
  </si>
  <si>
    <t>num_diffusers * unit_cost_diffuser</t>
  </si>
  <si>
    <t>mixer_power_kW</t>
  </si>
  <si>
    <t>Required electrical power for the mixers [kW]</t>
  </si>
  <si>
    <t>(V * mixing_energy_density) / 1000</t>
  </si>
  <si>
    <t>cost_mixers</t>
  </si>
  <si>
    <t>Capital cost of the mixing system [USD]</t>
  </si>
  <si>
    <t>mixer_power_kW * unit_cost_mixer</t>
  </si>
  <si>
    <t>Total cost of all mechanical equipment [USD]</t>
  </si>
  <si>
    <t>cost_blower + cost_diffusers + cost_mixers</t>
  </si>
  <si>
    <t>cost_piping</t>
  </si>
  <si>
    <t>Estimated capital cost for air piping and valves [USD]</t>
  </si>
  <si>
    <t>cost_equipment_total * factor_cost_piping</t>
  </si>
  <si>
    <t>cost_instrumentation</t>
  </si>
  <si>
    <t>Estimated capital cost for I&amp;C system [USD]</t>
  </si>
  <si>
    <t>cost_equipment_total * factor_cost_instr</t>
  </si>
  <si>
    <t>cost_civil + cost_equipment_total + cost_piping + cost_instrumentation</t>
  </si>
  <si>
    <t>Cost of electricity [USD/kWh]</t>
  </si>
  <si>
    <t>operating_hours</t>
  </si>
  <si>
    <t>Annual operating hours [h/year]</t>
  </si>
  <si>
    <t>Factor to estimate concrete volume from tank structural volume [-]</t>
  </si>
  <si>
    <t>factor_maint_equip</t>
  </si>
  <si>
    <t>Annual maintenance for equipment as a fraction of equipment cost [-]</t>
  </si>
  <si>
    <t>factor_maint_civil</t>
  </si>
  <si>
    <t>Annual maintenance for civil works as a fraction of civil cost [-]</t>
  </si>
  <si>
    <t>--- Civil Works ---</t>
  </si>
  <si>
    <t>--- Calculations for Tank Construction ---</t>
  </si>
  <si>
    <t>tank_wall_area</t>
  </si>
  <si>
    <t>Surface area of the tank's cylindrical wall [m²]</t>
  </si>
  <si>
    <t>3.14159 * tank_diameter * tank_total_height</t>
  </si>
  <si>
    <t>tank_structural_vol</t>
  </si>
  <si>
    <t>Structural volume of concrete (floor + walls) assuming 0.3m thickness [m³]</t>
  </si>
  <si>
    <t>(tank_floor_area * 0.3) + (tank_wall_area * 0.3)</t>
  </si>
  <si>
    <t>Estimated total volume of concrete needed for the tank [m³]</t>
  </si>
  <si>
    <t>tank_structural_vol * concrete_volume_factor</t>
  </si>
  <si>
    <t>--- Equipment Sizing &amp; Costing ---</t>
  </si>
  <si>
    <t>--- Calculations for Mechanical Equipment ---</t>
  </si>
  <si>
    <t>KLa * (beta_factor * C_s_T - DO_setpoint) * V / 1000</t>
  </si>
  <si>
    <t>--- CAPEX Calculation ---</t>
  </si>
  <si>
    <t>--- Summation of All Capital Costs ---</t>
  </si>
  <si>
    <t>subtotal_capex</t>
  </si>
  <si>
    <t>Total direct and indirect cost before contingency [USD]</t>
  </si>
  <si>
    <t>cost_contingency</t>
  </si>
  <si>
    <t>Contingency cost allowance [USD]</t>
  </si>
  <si>
    <t>subtotal_capex * factor_contingency</t>
  </si>
  <si>
    <t>Final Estimated Total Capital Expenditure [USD]</t>
  </si>
  <si>
    <t>subtotal_capex + cost_contingency</t>
  </si>
  <si>
    <t>--- AOC Calculation ---</t>
  </si>
  <si>
    <t>--- Summation of All Annual Operating Costs ---</t>
  </si>
  <si>
    <t>annual_energy_cost</t>
  </si>
  <si>
    <t>Annual cost of electricity for blowers and mixers [USD/year]</t>
  </si>
  <si>
    <t>(blower_power_kW + mixer_power_kW) * operating_hours * electricity_price</t>
  </si>
  <si>
    <t>annual_maint_cost</t>
  </si>
  <si>
    <t>Annual cost of maintenance for all assets [USD/year]</t>
  </si>
  <si>
    <t>(cost_equipment_total * factor_maint_equip) + (cost_civil * factor_maint_civil)</t>
  </si>
  <si>
    <t>Final Estimated Annual Operating Cost [USD/year]</t>
  </si>
  <si>
    <t>annual_energy_cost + annual_maint_cost</t>
  </si>
  <si>
    <t>--- Civil Works Sizing &amp; Costing ---</t>
  </si>
  <si>
    <t>--- Calculations for Clarifier Structure ---</t>
  </si>
  <si>
    <t>--- Mechanical Equipment Sizing &amp; Costing ---</t>
  </si>
  <si>
    <t>--- Calculations for Scrapers and Pumps ---</t>
  </si>
  <si>
    <t>--- Total CAPEX Calculation ---</t>
  </si>
  <si>
    <t>--- Annual Operating Cost (AOC) Calculation ---</t>
  </si>
  <si>
    <t>Final Estimated Total Annual Operating Cost [USD/year]</t>
  </si>
  <si>
    <t>Process Unit</t>
  </si>
  <si>
    <t>clarifier</t>
  </si>
  <si>
    <t>cstr</t>
  </si>
  <si>
    <t>clarifier, cstr</t>
  </si>
  <si>
    <t>models\cstr\cstr.joblib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</si>
</sst>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B7" sqref="B7"/>
    </sheetView>
  </sheetViews>
  <sheetFormatPr defaultRowHeight="14.5" x14ac:dyDescent="0.35"/>
  <cols>
    <col min="1" max="1" width="9.54296875" bestFit="1" customWidth="1"/>
    <col min="2" max="2" width="11.81640625" bestFit="1" customWidth="1"/>
  </cols>
  <sheetData>
    <row r="1" spans="1:2" x14ac:dyDescent="0.35">
      <c r="A1" s="1" t="s">
        <v>5</v>
      </c>
      <c r="B1" s="1" t="s">
        <v>1</v>
      </c>
    </row>
    <row r="2" spans="1:2" x14ac:dyDescent="0.35">
      <c r="A2" s="2" t="s">
        <v>8</v>
      </c>
      <c r="B2">
        <v>14</v>
      </c>
    </row>
    <row r="3" spans="1:2" x14ac:dyDescent="0.35">
      <c r="A3" s="2" t="s">
        <v>9</v>
      </c>
      <c r="B3">
        <v>26.5</v>
      </c>
    </row>
    <row r="4" spans="1:2" x14ac:dyDescent="0.35">
      <c r="A4" s="2" t="s">
        <v>10</v>
      </c>
      <c r="B4">
        <v>20.100000000000001</v>
      </c>
    </row>
    <row r="5" spans="1:2" x14ac:dyDescent="0.35">
      <c r="A5" s="2" t="s">
        <v>11</v>
      </c>
      <c r="B5">
        <v>94.3</v>
      </c>
    </row>
    <row r="6" spans="1:2" x14ac:dyDescent="0.35">
      <c r="A6" s="2" t="s">
        <v>12</v>
      </c>
      <c r="B6">
        <v>409.75</v>
      </c>
    </row>
    <row r="7" spans="1:2" x14ac:dyDescent="0.35">
      <c r="A7" s="2" t="s">
        <v>13</v>
      </c>
      <c r="B7">
        <v>31</v>
      </c>
    </row>
    <row r="8" spans="1:2" x14ac:dyDescent="0.35">
      <c r="A8" s="2" t="s">
        <v>14</v>
      </c>
      <c r="B8">
        <v>0</v>
      </c>
    </row>
    <row r="9" spans="1:2" x14ac:dyDescent="0.35">
      <c r="A9" s="2" t="s">
        <v>15</v>
      </c>
      <c r="B9">
        <v>0.26600000000000001</v>
      </c>
    </row>
    <row r="10" spans="1:2" x14ac:dyDescent="0.35">
      <c r="A10" s="2" t="s">
        <v>16</v>
      </c>
      <c r="B10">
        <v>2.8</v>
      </c>
    </row>
    <row r="11" spans="1:2" x14ac:dyDescent="0.35">
      <c r="A11" s="2" t="s">
        <v>17</v>
      </c>
      <c r="B11">
        <v>0.05</v>
      </c>
    </row>
    <row r="12" spans="1:2" x14ac:dyDescent="0.35">
      <c r="A12" s="2" t="s">
        <v>18</v>
      </c>
      <c r="B12">
        <v>0.5</v>
      </c>
    </row>
    <row r="13" spans="1:2" x14ac:dyDescent="0.35">
      <c r="A13" s="2" t="s">
        <v>19</v>
      </c>
      <c r="B13">
        <v>0.15</v>
      </c>
    </row>
    <row r="14" spans="1:2" x14ac:dyDescent="0.35">
      <c r="A14" s="2" t="s">
        <v>20</v>
      </c>
      <c r="B14">
        <v>0</v>
      </c>
    </row>
    <row r="15" spans="1:2" x14ac:dyDescent="0.35">
      <c r="A15" s="2" t="s">
        <v>21</v>
      </c>
      <c r="B15">
        <v>0</v>
      </c>
    </row>
    <row r="16" spans="1:2" x14ac:dyDescent="0.35">
      <c r="A16" s="2" t="s">
        <v>22</v>
      </c>
      <c r="B16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B3" sqref="B3"/>
    </sheetView>
  </sheetViews>
  <sheetFormatPr defaultRowHeight="14.5" x14ac:dyDescent="0.35"/>
  <cols>
    <col min="1" max="1" width="10.90625" bestFit="1" customWidth="1"/>
    <col min="2" max="2" width="34.453125" bestFit="1" customWidth="1"/>
    <col min="3" max="3" width="11.1796875" bestFit="1" customWidth="1"/>
  </cols>
  <sheetData>
    <row r="1" spans="1:3" x14ac:dyDescent="0.35">
      <c r="A1" s="6" t="s">
        <v>0</v>
      </c>
      <c r="B1" s="6" t="s">
        <v>1</v>
      </c>
      <c r="C1" s="7" t="s">
        <v>310</v>
      </c>
    </row>
    <row r="2" spans="1:3" x14ac:dyDescent="0.35">
      <c r="A2" t="s">
        <v>2</v>
      </c>
      <c r="B2" t="s">
        <v>28</v>
      </c>
      <c r="C2" t="s">
        <v>311</v>
      </c>
    </row>
    <row r="3" spans="1:3" x14ac:dyDescent="0.35">
      <c r="A3" t="s">
        <v>2</v>
      </c>
      <c r="B3" t="s">
        <v>314</v>
      </c>
      <c r="C3" t="s">
        <v>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5" sqref="B5"/>
    </sheetView>
  </sheetViews>
  <sheetFormatPr defaultRowHeight="14.5" x14ac:dyDescent="0.35"/>
  <cols>
    <col min="1" max="1" width="15.1796875" bestFit="1" customWidth="1"/>
    <col min="2" max="2" width="11.1796875" bestFit="1" customWidth="1"/>
  </cols>
  <sheetData>
    <row r="1" spans="1:2" x14ac:dyDescent="0.35">
      <c r="A1" s="1" t="s">
        <v>3</v>
      </c>
      <c r="B1" s="7" t="s">
        <v>310</v>
      </c>
    </row>
    <row r="2" spans="1:2" x14ac:dyDescent="0.35">
      <c r="A2" t="s">
        <v>4</v>
      </c>
      <c r="B2" t="s">
        <v>313</v>
      </c>
    </row>
    <row r="3" spans="1:2" x14ac:dyDescent="0.35">
      <c r="A3" t="s">
        <v>29</v>
      </c>
      <c r="B3" t="s">
        <v>311</v>
      </c>
    </row>
    <row r="4" spans="1:2" x14ac:dyDescent="0.35">
      <c r="A4" t="s">
        <v>30</v>
      </c>
      <c r="B4" t="s">
        <v>311</v>
      </c>
    </row>
    <row r="5" spans="1:2" x14ac:dyDescent="0.35">
      <c r="A5" t="s">
        <v>31</v>
      </c>
      <c r="B5" t="s">
        <v>311</v>
      </c>
    </row>
    <row r="6" spans="1:2" x14ac:dyDescent="0.35">
      <c r="A6" t="s">
        <v>32</v>
      </c>
      <c r="B6" t="s">
        <v>311</v>
      </c>
    </row>
    <row r="7" spans="1:2" x14ac:dyDescent="0.35">
      <c r="A7" t="s">
        <v>33</v>
      </c>
      <c r="B7" t="s">
        <v>311</v>
      </c>
    </row>
    <row r="8" spans="1:2" x14ac:dyDescent="0.35">
      <c r="A8" t="s">
        <v>61</v>
      </c>
      <c r="B8" t="s">
        <v>312</v>
      </c>
    </row>
    <row r="9" spans="1:2" x14ac:dyDescent="0.35">
      <c r="A9" t="s">
        <v>63</v>
      </c>
      <c r="B9" t="s">
        <v>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B2" sqref="B2"/>
    </sheetView>
  </sheetViews>
  <sheetFormatPr defaultRowHeight="14.5" x14ac:dyDescent="0.35"/>
  <cols>
    <col min="1" max="1" width="15.1796875" bestFit="1" customWidth="1"/>
    <col min="2" max="2" width="11.36328125" bestFit="1" customWidth="1"/>
    <col min="3" max="3" width="11.453125" bestFit="1" customWidth="1"/>
    <col min="4" max="4" width="11.1796875" bestFit="1" customWidth="1"/>
  </cols>
  <sheetData>
    <row r="1" spans="1:4" x14ac:dyDescent="0.35">
      <c r="A1" s="1" t="s">
        <v>5</v>
      </c>
      <c r="B1" s="1" t="s">
        <v>6</v>
      </c>
      <c r="C1" s="1" t="s">
        <v>7</v>
      </c>
      <c r="D1" s="7" t="s">
        <v>310</v>
      </c>
    </row>
    <row r="2" spans="1:4" x14ac:dyDescent="0.35">
      <c r="A2" t="s">
        <v>4</v>
      </c>
      <c r="B2">
        <v>1000</v>
      </c>
      <c r="C2">
        <f>B2*10</f>
        <v>10000</v>
      </c>
      <c r="D2" t="s">
        <v>313</v>
      </c>
    </row>
    <row r="3" spans="1:4" x14ac:dyDescent="0.35">
      <c r="A3" t="s">
        <v>29</v>
      </c>
      <c r="B3">
        <v>100</v>
      </c>
      <c r="C3">
        <f t="shared" ref="C3:C9" si="0">B3*10</f>
        <v>1000</v>
      </c>
      <c r="D3" t="s">
        <v>311</v>
      </c>
    </row>
    <row r="4" spans="1:4" x14ac:dyDescent="0.35">
      <c r="A4" t="s">
        <v>30</v>
      </c>
      <c r="B4">
        <v>0</v>
      </c>
      <c r="C4">
        <v>10000</v>
      </c>
      <c r="D4" t="s">
        <v>311</v>
      </c>
    </row>
    <row r="5" spans="1:4" x14ac:dyDescent="0.35">
      <c r="A5" t="s">
        <v>31</v>
      </c>
      <c r="B5">
        <v>0.1</v>
      </c>
      <c r="C5">
        <f t="shared" si="0"/>
        <v>1</v>
      </c>
      <c r="D5" t="s">
        <v>311</v>
      </c>
    </row>
    <row r="6" spans="1:4" x14ac:dyDescent="0.35">
      <c r="A6" t="s">
        <v>32</v>
      </c>
      <c r="B6">
        <v>800</v>
      </c>
      <c r="C6">
        <f t="shared" si="0"/>
        <v>8000</v>
      </c>
      <c r="D6" t="s">
        <v>311</v>
      </c>
    </row>
    <row r="7" spans="1:4" x14ac:dyDescent="0.35">
      <c r="A7" t="s">
        <v>33</v>
      </c>
      <c r="B7">
        <v>2</v>
      </c>
      <c r="C7">
        <f t="shared" si="0"/>
        <v>20</v>
      </c>
      <c r="D7" t="s">
        <v>311</v>
      </c>
    </row>
    <row r="8" spans="1:4" x14ac:dyDescent="0.35">
      <c r="A8" t="s">
        <v>61</v>
      </c>
      <c r="B8">
        <v>100</v>
      </c>
      <c r="C8">
        <f t="shared" si="0"/>
        <v>1000</v>
      </c>
      <c r="D8" t="s">
        <v>312</v>
      </c>
    </row>
    <row r="9" spans="1:4" x14ac:dyDescent="0.35">
      <c r="A9" t="s">
        <v>63</v>
      </c>
      <c r="B9">
        <v>50</v>
      </c>
      <c r="C9">
        <f t="shared" si="0"/>
        <v>500</v>
      </c>
      <c r="D9" t="s">
        <v>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tabSelected="1" workbookViewId="0">
      <selection activeCell="E10" sqref="E10"/>
    </sheetView>
  </sheetViews>
  <sheetFormatPr defaultColWidth="18.1796875" defaultRowHeight="14.5" x14ac:dyDescent="0.35"/>
  <cols>
    <col min="1" max="1" width="18.08984375" style="5" bestFit="1" customWidth="1"/>
    <col min="2" max="2" width="7.81640625" style="5" bestFit="1" customWidth="1"/>
    <col min="3" max="3" width="8.81640625" style="5" customWidth="1"/>
    <col min="4" max="4" width="17.90625" style="5" bestFit="1" customWidth="1"/>
    <col min="5" max="5" width="115.26953125" style="5" customWidth="1"/>
    <col min="6" max="16384" width="18.1796875" style="5"/>
  </cols>
  <sheetData>
    <row r="1" spans="1:5" x14ac:dyDescent="0.35">
      <c r="A1" s="3" t="s">
        <v>23</v>
      </c>
      <c r="B1" s="3" t="s">
        <v>24</v>
      </c>
      <c r="C1" s="3" t="s">
        <v>25</v>
      </c>
      <c r="D1" s="4" t="s">
        <v>44</v>
      </c>
      <c r="E1" s="4" t="s">
        <v>45</v>
      </c>
    </row>
    <row r="2" spans="1:5" ht="43.5" x14ac:dyDescent="0.35">
      <c r="A2" s="5" t="s">
        <v>46</v>
      </c>
      <c r="B2" s="5">
        <v>60</v>
      </c>
      <c r="C2" s="5">
        <v>300</v>
      </c>
      <c r="D2" s="5" t="s">
        <v>47</v>
      </c>
      <c r="E2" s="5" t="s">
        <v>52</v>
      </c>
    </row>
    <row r="3" spans="1:5" ht="43.5" x14ac:dyDescent="0.35">
      <c r="A3" s="5" t="s">
        <v>48</v>
      </c>
      <c r="B3" s="5">
        <v>30</v>
      </c>
      <c r="C3" s="5">
        <v>100</v>
      </c>
      <c r="D3" s="5" t="s">
        <v>47</v>
      </c>
      <c r="E3" s="5" t="s">
        <v>53</v>
      </c>
    </row>
    <row r="4" spans="1:5" ht="58" x14ac:dyDescent="0.35">
      <c r="A4" s="5" t="s">
        <v>49</v>
      </c>
      <c r="B4" s="5">
        <v>1</v>
      </c>
      <c r="C4" s="5">
        <v>10</v>
      </c>
      <c r="D4" s="5" t="s">
        <v>54</v>
      </c>
      <c r="E4" s="5" t="s">
        <v>55</v>
      </c>
    </row>
    <row r="5" spans="1:5" ht="43.5" x14ac:dyDescent="0.35">
      <c r="A5" s="5" t="s">
        <v>50</v>
      </c>
      <c r="B5" s="5">
        <v>70</v>
      </c>
      <c r="C5" s="5">
        <v>200</v>
      </c>
      <c r="D5" s="5" t="s">
        <v>47</v>
      </c>
      <c r="E5" s="5" t="s">
        <v>51</v>
      </c>
    </row>
    <row r="6" spans="1:5" ht="43.5" x14ac:dyDescent="0.35">
      <c r="A6" s="5" t="s">
        <v>42</v>
      </c>
      <c r="B6" s="5">
        <v>2</v>
      </c>
      <c r="C6" s="5">
        <v>9</v>
      </c>
      <c r="D6" s="5" t="s">
        <v>56</v>
      </c>
      <c r="E6" s="5" t="s">
        <v>57</v>
      </c>
    </row>
    <row r="7" spans="1:5" ht="43.5" x14ac:dyDescent="0.35">
      <c r="A7" s="5" t="s">
        <v>43</v>
      </c>
      <c r="B7" s="5">
        <v>14</v>
      </c>
      <c r="C7" s="5">
        <v>30</v>
      </c>
      <c r="D7" s="5" t="s">
        <v>58</v>
      </c>
      <c r="E7" s="5" t="s">
        <v>59</v>
      </c>
    </row>
    <row r="8" spans="1:5" x14ac:dyDescent="0.35">
      <c r="A8" s="5" t="s">
        <v>26</v>
      </c>
      <c r="B8" s="5">
        <v>8000000</v>
      </c>
      <c r="C8" s="5">
        <f>B8*5</f>
        <v>40000000</v>
      </c>
      <c r="D8" s="5" t="s">
        <v>60</v>
      </c>
      <c r="E8" s="5" t="s">
        <v>60</v>
      </c>
    </row>
    <row r="9" spans="1:5" x14ac:dyDescent="0.35">
      <c r="A9" s="5" t="s">
        <v>27</v>
      </c>
      <c r="B9" s="5">
        <f>B8/100</f>
        <v>80000</v>
      </c>
      <c r="C9" s="5">
        <f>B9*10</f>
        <v>800000</v>
      </c>
      <c r="D9" s="5" t="s">
        <v>60</v>
      </c>
      <c r="E9" s="5" t="s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0386-CA59-4966-A441-1A8D23073461}">
  <dimension ref="A1:C22"/>
  <sheetViews>
    <sheetView workbookViewId="0">
      <selection activeCell="A2" sqref="A2"/>
    </sheetView>
  </sheetViews>
  <sheetFormatPr defaultRowHeight="14.5" x14ac:dyDescent="0.35"/>
  <cols>
    <col min="1" max="1" width="22.453125" bestFit="1" customWidth="1"/>
    <col min="2" max="2" width="60.6328125" bestFit="1" customWidth="1"/>
    <col min="3" max="3" width="6.81640625" bestFit="1" customWidth="1"/>
  </cols>
  <sheetData>
    <row r="1" spans="1:3" x14ac:dyDescent="0.35">
      <c r="A1" t="s">
        <v>5</v>
      </c>
      <c r="B1" t="s">
        <v>34</v>
      </c>
      <c r="C1" t="s">
        <v>1</v>
      </c>
    </row>
    <row r="2" spans="1:3" x14ac:dyDescent="0.35">
      <c r="A2" t="s">
        <v>29</v>
      </c>
      <c r="B2" t="s">
        <v>109</v>
      </c>
      <c r="C2">
        <v>150</v>
      </c>
    </row>
    <row r="3" spans="1:3" x14ac:dyDescent="0.35">
      <c r="A3" t="s">
        <v>30</v>
      </c>
      <c r="B3" t="s">
        <v>110</v>
      </c>
      <c r="C3">
        <v>4500</v>
      </c>
    </row>
    <row r="4" spans="1:3" x14ac:dyDescent="0.35">
      <c r="A4" t="s">
        <v>32</v>
      </c>
      <c r="B4" t="s">
        <v>111</v>
      </c>
      <c r="C4">
        <v>1000</v>
      </c>
    </row>
    <row r="5" spans="1:3" x14ac:dyDescent="0.35">
      <c r="A5" t="s">
        <v>33</v>
      </c>
      <c r="B5" t="s">
        <v>112</v>
      </c>
      <c r="C5">
        <v>4.5</v>
      </c>
    </row>
    <row r="6" spans="1:3" x14ac:dyDescent="0.35">
      <c r="A6" t="s">
        <v>35</v>
      </c>
      <c r="B6" t="s">
        <v>113</v>
      </c>
      <c r="C6">
        <v>650</v>
      </c>
    </row>
    <row r="7" spans="1:3" x14ac:dyDescent="0.35">
      <c r="A7" t="s">
        <v>95</v>
      </c>
      <c r="B7" t="s">
        <v>96</v>
      </c>
      <c r="C7">
        <v>55</v>
      </c>
    </row>
    <row r="8" spans="1:3" x14ac:dyDescent="0.35">
      <c r="A8" t="s">
        <v>114</v>
      </c>
      <c r="B8" t="s">
        <v>115</v>
      </c>
      <c r="C8">
        <v>250</v>
      </c>
    </row>
    <row r="9" spans="1:3" x14ac:dyDescent="0.35">
      <c r="A9" t="s">
        <v>116</v>
      </c>
      <c r="B9" t="s">
        <v>117</v>
      </c>
      <c r="C9">
        <v>1100</v>
      </c>
    </row>
    <row r="10" spans="1:3" x14ac:dyDescent="0.35">
      <c r="A10" t="s">
        <v>118</v>
      </c>
      <c r="B10" t="s">
        <v>119</v>
      </c>
      <c r="C10">
        <v>0.12</v>
      </c>
    </row>
    <row r="11" spans="1:3" x14ac:dyDescent="0.35">
      <c r="A11" t="s">
        <v>120</v>
      </c>
      <c r="B11" t="s">
        <v>121</v>
      </c>
      <c r="C11">
        <v>8</v>
      </c>
    </row>
    <row r="12" spans="1:3" x14ac:dyDescent="0.35">
      <c r="A12" t="s">
        <v>36</v>
      </c>
      <c r="B12" t="s">
        <v>122</v>
      </c>
      <c r="C12">
        <v>0.7</v>
      </c>
    </row>
    <row r="13" spans="1:3" x14ac:dyDescent="0.35">
      <c r="A13" t="s">
        <v>123</v>
      </c>
      <c r="B13" t="s">
        <v>124</v>
      </c>
      <c r="C13">
        <v>1.5E-3</v>
      </c>
    </row>
    <row r="14" spans="1:3" x14ac:dyDescent="0.35">
      <c r="A14" t="s">
        <v>39</v>
      </c>
      <c r="B14" t="s">
        <v>125</v>
      </c>
      <c r="C14">
        <v>9.81</v>
      </c>
    </row>
    <row r="15" spans="1:3" x14ac:dyDescent="0.35">
      <c r="A15" t="s">
        <v>126</v>
      </c>
      <c r="B15" t="s">
        <v>127</v>
      </c>
      <c r="C15">
        <v>1000</v>
      </c>
    </row>
    <row r="16" spans="1:3" x14ac:dyDescent="0.35">
      <c r="A16" t="s">
        <v>128</v>
      </c>
      <c r="B16" t="s">
        <v>129</v>
      </c>
      <c r="C16">
        <v>365</v>
      </c>
    </row>
    <row r="17" spans="1:3" x14ac:dyDescent="0.35">
      <c r="A17" t="s">
        <v>130</v>
      </c>
      <c r="B17" t="s">
        <v>131</v>
      </c>
      <c r="C17">
        <v>0.2</v>
      </c>
    </row>
    <row r="18" spans="1:3" x14ac:dyDescent="0.35">
      <c r="A18" t="s">
        <v>132</v>
      </c>
      <c r="B18" t="s">
        <v>133</v>
      </c>
      <c r="C18">
        <v>0.15</v>
      </c>
    </row>
    <row r="19" spans="1:3" x14ac:dyDescent="0.35">
      <c r="A19" t="s">
        <v>134</v>
      </c>
      <c r="B19" t="s">
        <v>135</v>
      </c>
      <c r="C19">
        <v>0.12</v>
      </c>
    </row>
    <row r="20" spans="1:3" x14ac:dyDescent="0.35">
      <c r="A20" t="s">
        <v>136</v>
      </c>
      <c r="B20" t="s">
        <v>137</v>
      </c>
      <c r="C20">
        <v>0.05</v>
      </c>
    </row>
    <row r="21" spans="1:3" x14ac:dyDescent="0.35">
      <c r="A21" t="s">
        <v>138</v>
      </c>
      <c r="B21" t="s">
        <v>139</v>
      </c>
      <c r="C21">
        <v>500</v>
      </c>
    </row>
    <row r="22" spans="1:3" x14ac:dyDescent="0.35">
      <c r="A22" t="s">
        <v>38</v>
      </c>
      <c r="B22" t="s">
        <v>140</v>
      </c>
      <c r="C22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C83D-698B-4173-9197-94DC4559A07B}">
  <dimension ref="A1:E24"/>
  <sheetViews>
    <sheetView workbookViewId="0">
      <selection activeCell="C2" sqref="C2"/>
    </sheetView>
  </sheetViews>
  <sheetFormatPr defaultRowHeight="14.5" x14ac:dyDescent="0.35"/>
  <cols>
    <col min="1" max="1" width="22.36328125" bestFit="1" customWidth="1"/>
    <col min="2" max="2" width="49.90625" bestFit="1" customWidth="1"/>
    <col min="3" max="3" width="71.1796875" bestFit="1" customWidth="1"/>
    <col min="4" max="4" width="39.90625" bestFit="1" customWidth="1"/>
    <col min="5" max="5" width="40.453125" bestFit="1" customWidth="1"/>
    <col min="16384" max="16384" width="8.7265625" customWidth="1"/>
  </cols>
  <sheetData>
    <row r="1" spans="1:5" x14ac:dyDescent="0.35">
      <c r="A1" t="s">
        <v>40</v>
      </c>
      <c r="B1" t="s">
        <v>34</v>
      </c>
      <c r="C1" t="s">
        <v>41</v>
      </c>
    </row>
    <row r="2" spans="1:5" x14ac:dyDescent="0.35">
      <c r="A2" t="s">
        <v>144</v>
      </c>
      <c r="B2" t="s">
        <v>145</v>
      </c>
      <c r="C2" t="s">
        <v>146</v>
      </c>
      <c r="D2" t="s">
        <v>303</v>
      </c>
      <c r="E2" t="s">
        <v>304</v>
      </c>
    </row>
    <row r="3" spans="1:5" x14ac:dyDescent="0.35">
      <c r="A3" t="s">
        <v>141</v>
      </c>
      <c r="B3" t="s">
        <v>142</v>
      </c>
      <c r="C3" t="s">
        <v>143</v>
      </c>
    </row>
    <row r="4" spans="1:5" x14ac:dyDescent="0.35">
      <c r="A4" t="s">
        <v>147</v>
      </c>
      <c r="B4" t="s">
        <v>148</v>
      </c>
      <c r="C4" t="s">
        <v>149</v>
      </c>
    </row>
    <row r="5" spans="1:5" x14ac:dyDescent="0.35">
      <c r="A5" t="s">
        <v>150</v>
      </c>
      <c r="B5" t="s">
        <v>151</v>
      </c>
      <c r="C5" t="s">
        <v>152</v>
      </c>
    </row>
    <row r="6" spans="1:5" x14ac:dyDescent="0.35">
      <c r="A6" t="s">
        <v>153</v>
      </c>
      <c r="B6" t="s">
        <v>154</v>
      </c>
      <c r="C6" t="s">
        <v>155</v>
      </c>
    </row>
    <row r="7" spans="1:5" x14ac:dyDescent="0.35">
      <c r="A7" t="s">
        <v>156</v>
      </c>
      <c r="B7" t="s">
        <v>157</v>
      </c>
      <c r="C7" t="s">
        <v>158</v>
      </c>
    </row>
    <row r="8" spans="1:5" x14ac:dyDescent="0.35">
      <c r="A8" t="s">
        <v>159</v>
      </c>
      <c r="B8" t="s">
        <v>160</v>
      </c>
      <c r="C8" t="s">
        <v>161</v>
      </c>
      <c r="D8" t="s">
        <v>305</v>
      </c>
      <c r="E8" t="s">
        <v>306</v>
      </c>
    </row>
    <row r="9" spans="1:5" x14ac:dyDescent="0.35">
      <c r="A9" t="s">
        <v>162</v>
      </c>
      <c r="B9" t="s">
        <v>163</v>
      </c>
      <c r="C9" t="s">
        <v>164</v>
      </c>
    </row>
    <row r="10" spans="1:5" x14ac:dyDescent="0.35">
      <c r="A10" t="s">
        <v>165</v>
      </c>
      <c r="B10" t="s">
        <v>166</v>
      </c>
      <c r="C10" t="s">
        <v>167</v>
      </c>
    </row>
    <row r="11" spans="1:5" x14ac:dyDescent="0.35">
      <c r="A11" t="s">
        <v>168</v>
      </c>
      <c r="B11" t="s">
        <v>169</v>
      </c>
      <c r="C11" t="s">
        <v>170</v>
      </c>
    </row>
    <row r="12" spans="1:5" x14ac:dyDescent="0.35">
      <c r="A12" t="s">
        <v>171</v>
      </c>
      <c r="B12" t="s">
        <v>172</v>
      </c>
      <c r="C12" t="s">
        <v>173</v>
      </c>
    </row>
    <row r="13" spans="1:5" x14ac:dyDescent="0.35">
      <c r="A13" t="s">
        <v>174</v>
      </c>
      <c r="B13" t="s">
        <v>175</v>
      </c>
      <c r="C13" t="s">
        <v>176</v>
      </c>
    </row>
    <row r="14" spans="1:5" x14ac:dyDescent="0.35">
      <c r="A14" t="s">
        <v>177</v>
      </c>
      <c r="B14" t="s">
        <v>178</v>
      </c>
      <c r="C14" t="s">
        <v>179</v>
      </c>
    </row>
    <row r="15" spans="1:5" x14ac:dyDescent="0.35">
      <c r="A15" t="s">
        <v>180</v>
      </c>
      <c r="B15" t="s">
        <v>181</v>
      </c>
      <c r="C15" t="s">
        <v>182</v>
      </c>
      <c r="D15" t="s">
        <v>307</v>
      </c>
      <c r="E15" t="s">
        <v>285</v>
      </c>
    </row>
    <row r="16" spans="1:5" x14ac:dyDescent="0.35">
      <c r="A16" t="s">
        <v>183</v>
      </c>
      <c r="B16" t="s">
        <v>184</v>
      </c>
      <c r="C16" t="s">
        <v>185</v>
      </c>
    </row>
    <row r="17" spans="1:5" x14ac:dyDescent="0.35">
      <c r="A17" t="s">
        <v>26</v>
      </c>
      <c r="B17" t="s">
        <v>291</v>
      </c>
      <c r="C17" t="s">
        <v>186</v>
      </c>
    </row>
    <row r="18" spans="1:5" x14ac:dyDescent="0.35">
      <c r="A18" t="s">
        <v>187</v>
      </c>
      <c r="B18" t="s">
        <v>188</v>
      </c>
      <c r="C18" t="s">
        <v>189</v>
      </c>
      <c r="D18" t="s">
        <v>308</v>
      </c>
      <c r="E18" t="s">
        <v>294</v>
      </c>
    </row>
    <row r="19" spans="1:5" x14ac:dyDescent="0.35">
      <c r="A19" t="s">
        <v>190</v>
      </c>
      <c r="B19" t="s">
        <v>191</v>
      </c>
      <c r="C19" t="s">
        <v>192</v>
      </c>
    </row>
    <row r="20" spans="1:5" x14ac:dyDescent="0.35">
      <c r="A20" t="s">
        <v>193</v>
      </c>
      <c r="B20" t="s">
        <v>194</v>
      </c>
      <c r="C20" t="s">
        <v>195</v>
      </c>
    </row>
    <row r="21" spans="1:5" x14ac:dyDescent="0.35">
      <c r="A21" t="s">
        <v>196</v>
      </c>
      <c r="B21" t="s">
        <v>197</v>
      </c>
      <c r="C21" t="s">
        <v>198</v>
      </c>
    </row>
    <row r="22" spans="1:5" x14ac:dyDescent="0.35">
      <c r="A22" t="s">
        <v>199</v>
      </c>
      <c r="B22" t="s">
        <v>200</v>
      </c>
      <c r="C22" t="s">
        <v>201</v>
      </c>
    </row>
    <row r="23" spans="1:5" x14ac:dyDescent="0.35">
      <c r="A23" t="s">
        <v>202</v>
      </c>
      <c r="B23" t="s">
        <v>203</v>
      </c>
      <c r="C23" t="s">
        <v>204</v>
      </c>
    </row>
    <row r="24" spans="1:5" x14ac:dyDescent="0.35">
      <c r="A24" t="s">
        <v>27</v>
      </c>
      <c r="B24" t="s">
        <v>309</v>
      </c>
      <c r="C24" t="s">
        <v>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BA72-7FE6-47FA-9EF8-562563CB97E6}">
  <dimension ref="A1:C30"/>
  <sheetViews>
    <sheetView workbookViewId="0">
      <selection activeCell="B8" sqref="B8"/>
    </sheetView>
  </sheetViews>
  <sheetFormatPr defaultColWidth="8.6328125" defaultRowHeight="14.5" x14ac:dyDescent="0.35"/>
  <cols>
    <col min="1" max="1" width="21.36328125" bestFit="1" customWidth="1"/>
    <col min="2" max="2" width="72.1796875" bestFit="1" customWidth="1"/>
    <col min="3" max="3" width="5.81640625" bestFit="1" customWidth="1"/>
  </cols>
  <sheetData>
    <row r="1" spans="1:3" x14ac:dyDescent="0.35">
      <c r="A1" t="s">
        <v>5</v>
      </c>
      <c r="B1" t="s">
        <v>34</v>
      </c>
      <c r="C1" t="s">
        <v>1</v>
      </c>
    </row>
    <row r="2" spans="1:3" x14ac:dyDescent="0.35">
      <c r="A2" t="s">
        <v>61</v>
      </c>
      <c r="B2" t="s">
        <v>62</v>
      </c>
      <c r="C2">
        <v>2500</v>
      </c>
    </row>
    <row r="3" spans="1:3" x14ac:dyDescent="0.35">
      <c r="A3" t="s">
        <v>63</v>
      </c>
      <c r="B3" t="s">
        <v>64</v>
      </c>
      <c r="C3">
        <v>60</v>
      </c>
    </row>
    <row r="4" spans="1:3" x14ac:dyDescent="0.35">
      <c r="A4" t="s">
        <v>65</v>
      </c>
      <c r="B4" t="s">
        <v>66</v>
      </c>
      <c r="C4">
        <v>2</v>
      </c>
    </row>
    <row r="5" spans="1:3" x14ac:dyDescent="0.35">
      <c r="A5" t="s">
        <v>67</v>
      </c>
      <c r="B5" t="s">
        <v>68</v>
      </c>
      <c r="C5">
        <v>20</v>
      </c>
    </row>
    <row r="6" spans="1:3" x14ac:dyDescent="0.35">
      <c r="A6" t="s">
        <v>69</v>
      </c>
      <c r="B6" t="s">
        <v>70</v>
      </c>
      <c r="C6">
        <v>0.85</v>
      </c>
    </row>
    <row r="7" spans="1:3" x14ac:dyDescent="0.35">
      <c r="A7" t="s">
        <v>71</v>
      </c>
      <c r="B7" t="s">
        <v>72</v>
      </c>
      <c r="C7">
        <v>0.95</v>
      </c>
    </row>
    <row r="8" spans="1:3" x14ac:dyDescent="0.35">
      <c r="A8" t="s">
        <v>73</v>
      </c>
      <c r="B8" t="s">
        <v>74</v>
      </c>
      <c r="C8">
        <v>9.09</v>
      </c>
    </row>
    <row r="9" spans="1:3" x14ac:dyDescent="0.35">
      <c r="A9" t="s">
        <v>75</v>
      </c>
      <c r="B9" t="s">
        <v>76</v>
      </c>
      <c r="C9">
        <v>0.5</v>
      </c>
    </row>
    <row r="10" spans="1:3" x14ac:dyDescent="0.35">
      <c r="A10" t="s">
        <v>77</v>
      </c>
      <c r="B10" t="s">
        <v>78</v>
      </c>
      <c r="C10">
        <v>0.5</v>
      </c>
    </row>
    <row r="11" spans="1:3" x14ac:dyDescent="0.35">
      <c r="A11" t="s">
        <v>79</v>
      </c>
      <c r="B11" t="s">
        <v>266</v>
      </c>
      <c r="C11">
        <v>1.1499999999999999</v>
      </c>
    </row>
    <row r="12" spans="1:3" x14ac:dyDescent="0.35">
      <c r="A12" t="s">
        <v>80</v>
      </c>
      <c r="B12" t="s">
        <v>81</v>
      </c>
      <c r="C12">
        <v>60000</v>
      </c>
    </row>
    <row r="13" spans="1:3" x14ac:dyDescent="0.35">
      <c r="A13" t="s">
        <v>82</v>
      </c>
      <c r="B13" t="s">
        <v>83</v>
      </c>
      <c r="C13">
        <v>0.75</v>
      </c>
    </row>
    <row r="14" spans="1:3" x14ac:dyDescent="0.35">
      <c r="A14" t="s">
        <v>84</v>
      </c>
      <c r="B14" t="s">
        <v>85</v>
      </c>
      <c r="C14">
        <v>0.3</v>
      </c>
    </row>
    <row r="15" spans="1:3" x14ac:dyDescent="0.35">
      <c r="A15" t="s">
        <v>86</v>
      </c>
      <c r="B15" t="s">
        <v>87</v>
      </c>
      <c r="C15">
        <v>1</v>
      </c>
    </row>
    <row r="16" spans="1:3" x14ac:dyDescent="0.35">
      <c r="A16" t="s">
        <v>88</v>
      </c>
      <c r="B16" t="s">
        <v>89</v>
      </c>
      <c r="C16">
        <v>10</v>
      </c>
    </row>
    <row r="17" spans="1:3" x14ac:dyDescent="0.35">
      <c r="A17" t="s">
        <v>90</v>
      </c>
      <c r="B17" t="s">
        <v>91</v>
      </c>
      <c r="C17">
        <v>1.2250000000000001</v>
      </c>
    </row>
    <row r="18" spans="1:3" x14ac:dyDescent="0.35">
      <c r="A18" t="s">
        <v>92</v>
      </c>
      <c r="B18" t="s">
        <v>93</v>
      </c>
      <c r="C18">
        <v>0.23200000000000001</v>
      </c>
    </row>
    <row r="19" spans="1:3" x14ac:dyDescent="0.35">
      <c r="A19" t="s">
        <v>35</v>
      </c>
      <c r="B19" t="s">
        <v>94</v>
      </c>
      <c r="C19">
        <v>600</v>
      </c>
    </row>
    <row r="20" spans="1:3" x14ac:dyDescent="0.35">
      <c r="A20" t="s">
        <v>95</v>
      </c>
      <c r="B20" t="s">
        <v>96</v>
      </c>
      <c r="C20">
        <v>50</v>
      </c>
    </row>
    <row r="21" spans="1:3" x14ac:dyDescent="0.35">
      <c r="A21" t="s">
        <v>97</v>
      </c>
      <c r="B21" t="s">
        <v>98</v>
      </c>
      <c r="C21">
        <v>1200</v>
      </c>
    </row>
    <row r="22" spans="1:3" x14ac:dyDescent="0.35">
      <c r="A22" t="s">
        <v>99</v>
      </c>
      <c r="B22" t="s">
        <v>100</v>
      </c>
      <c r="C22">
        <v>150</v>
      </c>
    </row>
    <row r="23" spans="1:3" x14ac:dyDescent="0.35">
      <c r="A23" t="s">
        <v>101</v>
      </c>
      <c r="B23" t="s">
        <v>102</v>
      </c>
      <c r="C23">
        <v>2000</v>
      </c>
    </row>
    <row r="24" spans="1:3" x14ac:dyDescent="0.35">
      <c r="A24" t="s">
        <v>103</v>
      </c>
      <c r="B24" t="s">
        <v>104</v>
      </c>
      <c r="C24">
        <v>0.25</v>
      </c>
    </row>
    <row r="25" spans="1:3" x14ac:dyDescent="0.35">
      <c r="A25" t="s">
        <v>105</v>
      </c>
      <c r="B25" t="s">
        <v>106</v>
      </c>
      <c r="C25">
        <v>0.15</v>
      </c>
    </row>
    <row r="26" spans="1:3" x14ac:dyDescent="0.35">
      <c r="A26" t="s">
        <v>107</v>
      </c>
      <c r="B26" t="s">
        <v>108</v>
      </c>
      <c r="C26">
        <v>0.15</v>
      </c>
    </row>
    <row r="27" spans="1:3" x14ac:dyDescent="0.35">
      <c r="A27" t="s">
        <v>37</v>
      </c>
      <c r="B27" t="s">
        <v>263</v>
      </c>
      <c r="C27">
        <v>0.12</v>
      </c>
    </row>
    <row r="28" spans="1:3" x14ac:dyDescent="0.35">
      <c r="A28" t="s">
        <v>264</v>
      </c>
      <c r="B28" t="s">
        <v>265</v>
      </c>
      <c r="C28">
        <v>8760</v>
      </c>
    </row>
    <row r="29" spans="1:3" x14ac:dyDescent="0.35">
      <c r="A29" t="s">
        <v>267</v>
      </c>
      <c r="B29" t="s">
        <v>268</v>
      </c>
      <c r="C29">
        <v>0.05</v>
      </c>
    </row>
    <row r="30" spans="1:3" x14ac:dyDescent="0.35">
      <c r="A30" t="s">
        <v>269</v>
      </c>
      <c r="B30" t="s">
        <v>270</v>
      </c>
      <c r="C30">
        <v>0.01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D9EB-69A6-4DC7-8EB8-C9EE4CB51B65}">
  <dimension ref="A1:E29"/>
  <sheetViews>
    <sheetView topLeftCell="B1" workbookViewId="0">
      <selection activeCell="C21" sqref="C21"/>
    </sheetView>
  </sheetViews>
  <sheetFormatPr defaultRowHeight="14.5" x14ac:dyDescent="0.35"/>
  <cols>
    <col min="1" max="1" width="20.453125" bestFit="1" customWidth="1"/>
    <col min="2" max="2" width="57.7265625" bestFit="1" customWidth="1"/>
    <col min="3" max="3" width="80.54296875" bestFit="1" customWidth="1"/>
    <col min="4" max="4" width="28.453125" bestFit="1" customWidth="1"/>
    <col min="5" max="5" width="40.453125" bestFit="1" customWidth="1"/>
    <col min="11" max="11" width="8.7265625" customWidth="1"/>
  </cols>
  <sheetData>
    <row r="1" spans="1:5" x14ac:dyDescent="0.35">
      <c r="A1" t="s">
        <v>40</v>
      </c>
      <c r="B1" t="s">
        <v>34</v>
      </c>
      <c r="C1" t="s">
        <v>41</v>
      </c>
    </row>
    <row r="2" spans="1:5" x14ac:dyDescent="0.35">
      <c r="A2" t="s">
        <v>206</v>
      </c>
      <c r="B2" t="s">
        <v>207</v>
      </c>
      <c r="C2" t="s">
        <v>208</v>
      </c>
      <c r="D2" t="s">
        <v>271</v>
      </c>
      <c r="E2" t="s">
        <v>272</v>
      </c>
    </row>
    <row r="3" spans="1:5" x14ac:dyDescent="0.35">
      <c r="A3" t="s">
        <v>209</v>
      </c>
      <c r="B3" t="s">
        <v>210</v>
      </c>
      <c r="C3" t="s">
        <v>211</v>
      </c>
    </row>
    <row r="4" spans="1:5" x14ac:dyDescent="0.35">
      <c r="A4" t="s">
        <v>212</v>
      </c>
      <c r="B4" t="s">
        <v>213</v>
      </c>
      <c r="C4" t="s">
        <v>214</v>
      </c>
    </row>
    <row r="5" spans="1:5" x14ac:dyDescent="0.35">
      <c r="A5" t="s">
        <v>215</v>
      </c>
      <c r="B5" t="s">
        <v>216</v>
      </c>
      <c r="C5" t="s">
        <v>217</v>
      </c>
    </row>
    <row r="6" spans="1:5" x14ac:dyDescent="0.35">
      <c r="A6" t="s">
        <v>218</v>
      </c>
      <c r="B6" t="s">
        <v>219</v>
      </c>
      <c r="C6" t="s">
        <v>220</v>
      </c>
    </row>
    <row r="7" spans="1:5" x14ac:dyDescent="0.35">
      <c r="A7" t="s">
        <v>239</v>
      </c>
      <c r="B7" t="s">
        <v>240</v>
      </c>
      <c r="C7" t="s">
        <v>241</v>
      </c>
    </row>
    <row r="8" spans="1:5" x14ac:dyDescent="0.35">
      <c r="A8" t="s">
        <v>273</v>
      </c>
      <c r="B8" t="s">
        <v>274</v>
      </c>
      <c r="C8" t="s">
        <v>275</v>
      </c>
    </row>
    <row r="9" spans="1:5" x14ac:dyDescent="0.35">
      <c r="A9" t="s">
        <v>276</v>
      </c>
      <c r="B9" t="s">
        <v>277</v>
      </c>
      <c r="C9" t="s">
        <v>278</v>
      </c>
    </row>
    <row r="10" spans="1:5" x14ac:dyDescent="0.35">
      <c r="A10" t="s">
        <v>221</v>
      </c>
      <c r="B10" t="s">
        <v>279</v>
      </c>
      <c r="C10" t="s">
        <v>280</v>
      </c>
    </row>
    <row r="11" spans="1:5" x14ac:dyDescent="0.35">
      <c r="A11" t="s">
        <v>222</v>
      </c>
      <c r="B11" t="s">
        <v>223</v>
      </c>
      <c r="C11" t="s">
        <v>224</v>
      </c>
    </row>
    <row r="12" spans="1:5" x14ac:dyDescent="0.35">
      <c r="A12" t="s">
        <v>225</v>
      </c>
      <c r="B12" t="s">
        <v>226</v>
      </c>
      <c r="C12" t="s">
        <v>283</v>
      </c>
      <c r="D12" t="s">
        <v>281</v>
      </c>
      <c r="E12" t="s">
        <v>282</v>
      </c>
    </row>
    <row r="13" spans="1:5" x14ac:dyDescent="0.35">
      <c r="A13" t="s">
        <v>227</v>
      </c>
      <c r="B13" t="s">
        <v>228</v>
      </c>
      <c r="C13" t="s">
        <v>229</v>
      </c>
    </row>
    <row r="14" spans="1:5" x14ac:dyDescent="0.35">
      <c r="A14" t="s">
        <v>230</v>
      </c>
      <c r="B14" t="s">
        <v>231</v>
      </c>
      <c r="C14" t="s">
        <v>232</v>
      </c>
    </row>
    <row r="15" spans="1:5" x14ac:dyDescent="0.35">
      <c r="A15" t="s">
        <v>233</v>
      </c>
      <c r="B15" t="s">
        <v>234</v>
      </c>
      <c r="C15" t="s">
        <v>235</v>
      </c>
    </row>
    <row r="16" spans="1:5" x14ac:dyDescent="0.35">
      <c r="A16" t="s">
        <v>236</v>
      </c>
      <c r="B16" t="s">
        <v>237</v>
      </c>
      <c r="C16" t="s">
        <v>238</v>
      </c>
    </row>
    <row r="17" spans="1:5" x14ac:dyDescent="0.35">
      <c r="A17" t="s">
        <v>242</v>
      </c>
      <c r="B17" t="s">
        <v>243</v>
      </c>
      <c r="C17" t="s">
        <v>244</v>
      </c>
    </row>
    <row r="18" spans="1:5" x14ac:dyDescent="0.35">
      <c r="A18" t="s">
        <v>245</v>
      </c>
      <c r="B18" t="s">
        <v>246</v>
      </c>
      <c r="C18" t="s">
        <v>247</v>
      </c>
    </row>
    <row r="19" spans="1:5" x14ac:dyDescent="0.35">
      <c r="A19" t="s">
        <v>248</v>
      </c>
      <c r="B19" t="s">
        <v>249</v>
      </c>
      <c r="C19" t="s">
        <v>250</v>
      </c>
    </row>
    <row r="20" spans="1:5" x14ac:dyDescent="0.35">
      <c r="A20" t="s">
        <v>251</v>
      </c>
      <c r="B20" t="s">
        <v>252</v>
      </c>
      <c r="C20" t="s">
        <v>253</v>
      </c>
    </row>
    <row r="21" spans="1:5" x14ac:dyDescent="0.35">
      <c r="A21" t="s">
        <v>177</v>
      </c>
      <c r="B21" t="s">
        <v>254</v>
      </c>
      <c r="C21" t="s">
        <v>255</v>
      </c>
    </row>
    <row r="22" spans="1:5" x14ac:dyDescent="0.35">
      <c r="A22" t="s">
        <v>256</v>
      </c>
      <c r="B22" t="s">
        <v>257</v>
      </c>
      <c r="C22" t="s">
        <v>258</v>
      </c>
      <c r="D22" t="s">
        <v>284</v>
      </c>
      <c r="E22" t="s">
        <v>285</v>
      </c>
    </row>
    <row r="23" spans="1:5" x14ac:dyDescent="0.35">
      <c r="A23" t="s">
        <v>259</v>
      </c>
      <c r="B23" t="s">
        <v>260</v>
      </c>
      <c r="C23" t="s">
        <v>261</v>
      </c>
    </row>
    <row r="24" spans="1:5" x14ac:dyDescent="0.35">
      <c r="A24" t="s">
        <v>286</v>
      </c>
      <c r="B24" t="s">
        <v>287</v>
      </c>
      <c r="C24" t="s">
        <v>262</v>
      </c>
    </row>
    <row r="25" spans="1:5" x14ac:dyDescent="0.35">
      <c r="A25" t="s">
        <v>288</v>
      </c>
      <c r="B25" t="s">
        <v>289</v>
      </c>
      <c r="C25" t="s">
        <v>290</v>
      </c>
    </row>
    <row r="26" spans="1:5" x14ac:dyDescent="0.35">
      <c r="A26" t="s">
        <v>26</v>
      </c>
      <c r="B26" t="s">
        <v>291</v>
      </c>
      <c r="C26" t="s">
        <v>292</v>
      </c>
    </row>
    <row r="27" spans="1:5" x14ac:dyDescent="0.35">
      <c r="A27" t="s">
        <v>295</v>
      </c>
      <c r="B27" t="s">
        <v>296</v>
      </c>
      <c r="C27" t="s">
        <v>297</v>
      </c>
      <c r="D27" t="s">
        <v>293</v>
      </c>
      <c r="E27" t="s">
        <v>294</v>
      </c>
    </row>
    <row r="28" spans="1:5" x14ac:dyDescent="0.35">
      <c r="A28" t="s">
        <v>298</v>
      </c>
      <c r="B28" t="s">
        <v>299</v>
      </c>
      <c r="C28" t="s">
        <v>300</v>
      </c>
    </row>
    <row r="29" spans="1:5" x14ac:dyDescent="0.35">
      <c r="A29" t="s">
        <v>27</v>
      </c>
      <c r="B29" t="s">
        <v>301</v>
      </c>
      <c r="C29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influent_compound_conc</vt:lpstr>
      <vt:lpstr>config</vt:lpstr>
      <vt:lpstr>decision_var</vt:lpstr>
      <vt:lpstr>decision_var_bound</vt:lpstr>
      <vt:lpstr>fuzzy_goal</vt:lpstr>
      <vt:lpstr>cost_var_clarifier</vt:lpstr>
      <vt:lpstr>capex_calc_clarifier</vt:lpstr>
      <vt:lpstr>cost_var_cstr</vt:lpstr>
      <vt:lpstr>capex_calc_cstr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Egberto Selerio Jr.</cp:lastModifiedBy>
  <dcterms:created xsi:type="dcterms:W3CDTF">2025-06-24T22:25:53Z</dcterms:created>
  <dcterms:modified xsi:type="dcterms:W3CDTF">2025-07-12T23:00:41Z</dcterms:modified>
</cp:coreProperties>
</file>