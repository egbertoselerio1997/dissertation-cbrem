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eggy\dissertation-files-final\bioreactor-implementation-june\data\"/>
    </mc:Choice>
  </mc:AlternateContent>
  <xr:revisionPtr revIDLastSave="0" documentId="13_ncr:1_{B3952719-0D84-4CE1-9D1E-3F95D0ADCACD}" xr6:coauthVersionLast="47" xr6:coauthVersionMax="47" xr10:uidLastSave="{00000000-0000-0000-0000-000000000000}"/>
  <bookViews>
    <workbookView xWindow="-110" yWindow="-110" windowWidth="25820" windowHeight="13900" activeTab="6" xr2:uid="{00000000-000D-0000-FFFF-FFFF00000000}"/>
  </bookViews>
  <sheets>
    <sheet name="config" sheetId="1" r:id="rId1"/>
    <sheet name="decision_var" sheetId="2" r:id="rId2"/>
    <sheet name="decision_var_bound" sheetId="3" r:id="rId3"/>
    <sheet name="cost_var" sheetId="7" r:id="rId4"/>
    <sheet name="capex_calc" sheetId="8" r:id="rId5"/>
    <sheet name="influent_compound_conc" sheetId="4" r:id="rId6"/>
    <sheet name="fuzzy_goal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2" i="3"/>
  <c r="B9" i="6"/>
  <c r="C9" i="6" s="1"/>
  <c r="C8" i="6"/>
</calcChain>
</file>

<file path=xl/sharedStrings.xml><?xml version="1.0" encoding="utf-8"?>
<sst xmlns="http://schemas.openxmlformats.org/spreadsheetml/2006/main" count="164" uniqueCount="142">
  <si>
    <t>Parameter</t>
  </si>
  <si>
    <t>Value</t>
  </si>
  <si>
    <t>model_path</t>
  </si>
  <si>
    <t>I_variables</t>
  </si>
  <si>
    <t>flow_rate</t>
  </si>
  <si>
    <t>Variable</t>
  </si>
  <si>
    <t>LowerBound</t>
  </si>
  <si>
    <t>UpperBound</t>
  </si>
  <si>
    <t>inf_S_I</t>
  </si>
  <si>
    <t>inf_X_I</t>
  </si>
  <si>
    <t>inf_S_F</t>
  </si>
  <si>
    <t>inf_S_A</t>
  </si>
  <si>
    <t>inf_X_S</t>
  </si>
  <si>
    <t>inf_S_NH4</t>
  </si>
  <si>
    <t>inf_S_N2</t>
  </si>
  <si>
    <t>inf_S_NO3</t>
  </si>
  <si>
    <t>inf_S_PO4</t>
  </si>
  <si>
    <t>inf_X_PP</t>
  </si>
  <si>
    <t>inf_X_PHA</t>
  </si>
  <si>
    <t>inf_X_H</t>
  </si>
  <si>
    <t>inf_X_AUT</t>
  </si>
  <si>
    <t>inf_X_PAO</t>
  </si>
  <si>
    <t>inf_S_ALK</t>
  </si>
  <si>
    <t>C_labor</t>
  </si>
  <si>
    <t>Goal</t>
  </si>
  <si>
    <t>Target</t>
  </si>
  <si>
    <t>Max</t>
  </si>
  <si>
    <t>CAPEX</t>
  </si>
  <si>
    <t>AOC</t>
  </si>
  <si>
    <t>models\clarifier\clarifier.joblib</t>
  </si>
  <si>
    <t>Q_was</t>
  </si>
  <si>
    <t>Q_ext</t>
  </si>
  <si>
    <t>O3_split_internal</t>
  </si>
  <si>
    <t>C1_surface_area</t>
  </si>
  <si>
    <t>C1_height</t>
  </si>
  <si>
    <t>Description</t>
  </si>
  <si>
    <t>Clarifier height [m]</t>
  </si>
  <si>
    <t>C1_wall_thickness</t>
  </si>
  <si>
    <t>Thickness of clarifier walls [m]</t>
  </si>
  <si>
    <t>C1_base_thickness</t>
  </si>
  <si>
    <t>Thickness of clarifier base slab [m]</t>
  </si>
  <si>
    <t>Sludge wastage flowrate [m3/d]</t>
  </si>
  <si>
    <t>External recycle flowrate from C1 to A1 [m3/d]</t>
  </si>
  <si>
    <t>unit_cost_concrete</t>
  </si>
  <si>
    <t>unit_cost_steel</t>
  </si>
  <si>
    <t>Unit cost of steel reinforcement [USD/ton]</t>
  </si>
  <si>
    <t>steel_reinforcement_ratio</t>
  </si>
  <si>
    <t>Ratio of steel to concrete [ton/m3]</t>
  </si>
  <si>
    <t>equipment_cost_factor</t>
  </si>
  <si>
    <t>Equipment cost as a fraction of construction cost</t>
  </si>
  <si>
    <t>engineering_cost_factor</t>
  </si>
  <si>
    <t>Engineering &amp; design as a fraction of construction + equipment cost</t>
  </si>
  <si>
    <t>contingency_factor</t>
  </si>
  <si>
    <t>Contingency as a fraction of construction + equipment cost</t>
  </si>
  <si>
    <t>scraper_motor_power</t>
  </si>
  <si>
    <t>sludge_pump_power</t>
  </si>
  <si>
    <t>Power rating of the sludge pumps [kW]</t>
  </si>
  <si>
    <t>pump_efficiency</t>
  </si>
  <si>
    <t>Overall efficiency of the sludge pumps</t>
  </si>
  <si>
    <t>TDH_pump</t>
  </si>
  <si>
    <t>Total Dynamic Head for sludge pumps [m]</t>
  </si>
  <si>
    <t>electricity_price</t>
  </si>
  <si>
    <t>Unit price of electricity [USD/kWh]</t>
  </si>
  <si>
    <t>maintenance_factor</t>
  </si>
  <si>
    <t>Annual maintenance cost as a fraction of equipment cost</t>
  </si>
  <si>
    <t>labor_rate</t>
  </si>
  <si>
    <t>Hourly labor rate for operators [USD/hour]</t>
  </si>
  <si>
    <t>daily_labor_hours</t>
  </si>
  <si>
    <t>Daily operator hours for clarifier tasks [hours/day]</t>
  </si>
  <si>
    <t>g</t>
  </si>
  <si>
    <t>rho</t>
  </si>
  <si>
    <t>Density of water [ kg/m3 ]</t>
  </si>
  <si>
    <t>Output Variable</t>
  </si>
  <si>
    <t>Calculation</t>
  </si>
  <si>
    <t>V_concrete_walls</t>
  </si>
  <si>
    <t>(C1_surface_area**0.5 * 4) * C1_height * C1_wall_thickness</t>
  </si>
  <si>
    <t>V_concrete_base</t>
  </si>
  <si>
    <t>Volume of concrete for base [m3]</t>
  </si>
  <si>
    <t>C1_surface_area * C1_base_thickness</t>
  </si>
  <si>
    <t>V_concrete_total</t>
  </si>
  <si>
    <t>Total volume of concrete [m3]</t>
  </si>
  <si>
    <t>V_concrete_walls + V_concrete_base</t>
  </si>
  <si>
    <t>W_steel</t>
  </si>
  <si>
    <t>Total weight of steel reinforcement [ton]</t>
  </si>
  <si>
    <t>V_concrete_total * steel_reinforcement_ratio</t>
  </si>
  <si>
    <t>C_const</t>
  </si>
  <si>
    <t>Total Construction Cost [USD]</t>
  </si>
  <si>
    <t>(V_concrete_total * unit_cost_concrete) + (W_steel * unit_cost_steel)</t>
  </si>
  <si>
    <t>C_equip</t>
  </si>
  <si>
    <t>Total Equipment Cost [USD]</t>
  </si>
  <si>
    <t>C_const * equipment_cost_factor</t>
  </si>
  <si>
    <t>C_direct</t>
  </si>
  <si>
    <t>Direct Costs (Construction + Equipment) [USD]</t>
  </si>
  <si>
    <t>C_const + C_equip</t>
  </si>
  <si>
    <t>C_engineering</t>
  </si>
  <si>
    <t>Engineering &amp; Design Cost [USD]</t>
  </si>
  <si>
    <t>C_direct * engineering_cost_factor</t>
  </si>
  <si>
    <t>C_contingency</t>
  </si>
  <si>
    <t>Contingency Cost [USD]</t>
  </si>
  <si>
    <t>C_direct * contingency_factor</t>
  </si>
  <si>
    <t>Total Clarifier CAPEX [USD]</t>
  </si>
  <si>
    <t>C_direct + C_engineering + C_contingency</t>
  </si>
  <si>
    <t>energy_scraper_yearly</t>
  </si>
  <si>
    <t>scraper_motor_power * 24 * 365</t>
  </si>
  <si>
    <t>energy_pumps_yearly</t>
  </si>
  <si>
    <t>Annual energy for sludge pumps [kWh/year]</t>
  </si>
  <si>
    <t>((Q_was + Q_ext) * rho * g * TDH_pump) / (24 * 3600 * 1000 * pump_efficiency) * 24 * 365</t>
  </si>
  <si>
    <t>C_energy</t>
  </si>
  <si>
    <t>Annual Energy Cost [USD/year]</t>
  </si>
  <si>
    <t>(energy_scraper_yearly + energy_pumps_yearly) * electricity_price</t>
  </si>
  <si>
    <t>C_maint</t>
  </si>
  <si>
    <t>Annual Maintenance Cost [USD/year]</t>
  </si>
  <si>
    <t>C_equip * maintenance_factor</t>
  </si>
  <si>
    <t>Annual Labor Cost [USD/year]</t>
  </si>
  <si>
    <t>daily_labor_hours * 365 * labor_rate</t>
  </si>
  <si>
    <t>Total Clarifier AOC [USD/year]</t>
  </si>
  <si>
    <t>C_energy + C_maint + C_labor</t>
  </si>
  <si>
    <t># Constants: Gravitational acceleration [m/s2]</t>
  </si>
  <si>
    <t># Unit Costs &amp; Factors (AOC): Power rating of the scraper motor [kW]</t>
  </si>
  <si>
    <t># Unit Costs (CAPEX): Unit cost of concrete [USD/m3]</t>
  </si>
  <si>
    <t># Design Inputs: Clarifier surface area [m2]</t>
  </si>
  <si>
    <t># CAPEX Calculations: Volume of concrete for walls [m3]</t>
  </si>
  <si>
    <t># AOC Calculations: Annual energy for scraper [kWh/year]</t>
  </si>
  <si>
    <t>Target_Effluent_S_NH4 (mg/L)</t>
  </si>
  <si>
    <t>Target_Effluent_S_NO3 (mg/L)</t>
  </si>
  <si>
    <t>Source of Standard</t>
  </si>
  <si>
    <t>Notes</t>
  </si>
  <si>
    <t>Target_Effluent_COD (mg/L)</t>
  </si>
  <si>
    <t>Philippines: DENR Administrative Order 2016-08[1]</t>
  </si>
  <si>
    <t>Target_Effluent_BOD (mg/L)</t>
  </si>
  <si>
    <t>Target_Effluent_TP (mg/L)</t>
  </si>
  <si>
    <t>Target_Effluent_TSS (mg/L)</t>
  </si>
  <si>
    <t>Limits are dependent on the classification of the receiving water body.</t>
  </si>
  <si>
    <t>Limits vary depending on the classification of the receiving water body (Class A, B, C, D for freshwater and SA, SB, SC, SD for marine water).[1][2] For establishments with influent BOD ≥ 3,000 mg/L discharging to specific water classes, different standards may apply.[1][3]</t>
  </si>
  <si>
    <t>Limits vary based on the classification of the receiving water body. For establishments with influent BOD ≥ 3,000 mg/L, specific effluent standards for BOD are enforced.[3][4]</t>
  </si>
  <si>
    <t>Philippines: DENR Administrative Order 2021-19[9][10]</t>
  </si>
  <si>
    <t>The standard is for Phosphate as P and the limit varies depending on the classification of the receiving water body.[9][10]</t>
  </si>
  <si>
    <t>Philippines: DENR Administrative Order 2021-19</t>
  </si>
  <si>
    <t>The limits for Ammonia as NH₃-N were updated in DAO 2021-19 and vary depending on the water body classification. For Class AA (freshwater) and SA (marine water), the standard is No Discharge Allowed (NDA).[3][4]</t>
  </si>
  <si>
    <t>Philippines: DENR Administrative Order 2016-08</t>
  </si>
  <si>
    <t>The limits vary depending on the classification of the receiving water body.[5][6]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</si>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</sst>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L16" sqref="L16"/>
    </sheetView>
  </sheetViews>
  <sheetFormatPr defaultRowHeight="14.5" x14ac:dyDescent="0.35"/>
  <cols>
    <col min="1" max="1" width="10.90625" bestFit="1" customWidth="1"/>
    <col min="2" max="2" width="26.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>
      <selection activeCell="B3" sqref="B3"/>
    </sheetView>
  </sheetViews>
  <sheetFormatPr defaultRowHeight="14.5" x14ac:dyDescent="0.35"/>
  <cols>
    <col min="1" max="1" width="15.1796875" bestFit="1" customWidth="1"/>
  </cols>
  <sheetData>
    <row r="1" spans="1:1" x14ac:dyDescent="0.35">
      <c r="A1" s="1" t="s">
        <v>3</v>
      </c>
    </row>
    <row r="2" spans="1:1" x14ac:dyDescent="0.35">
      <c r="A2" t="s">
        <v>4</v>
      </c>
    </row>
    <row r="3" spans="1:1" x14ac:dyDescent="0.35">
      <c r="A3" t="s">
        <v>30</v>
      </c>
    </row>
    <row r="4" spans="1:1" x14ac:dyDescent="0.35">
      <c r="A4" t="s">
        <v>31</v>
      </c>
    </row>
    <row r="5" spans="1:1" x14ac:dyDescent="0.35">
      <c r="A5" t="s">
        <v>32</v>
      </c>
    </row>
    <row r="6" spans="1:1" x14ac:dyDescent="0.35">
      <c r="A6" t="s">
        <v>33</v>
      </c>
    </row>
    <row r="7" spans="1:1" x14ac:dyDescent="0.35">
      <c r="A7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E5" sqref="E5"/>
    </sheetView>
  </sheetViews>
  <sheetFormatPr defaultRowHeight="14.5" x14ac:dyDescent="0.35"/>
  <cols>
    <col min="1" max="1" width="15.1796875" bestFit="1" customWidth="1"/>
    <col min="2" max="2" width="11.36328125" bestFit="1" customWidth="1"/>
    <col min="3" max="3" width="11.453125" bestFit="1" customWidth="1"/>
  </cols>
  <sheetData>
    <row r="1" spans="1:3" x14ac:dyDescent="0.35">
      <c r="A1" s="1" t="s">
        <v>5</v>
      </c>
      <c r="B1" s="1" t="s">
        <v>6</v>
      </c>
      <c r="C1" s="1" t="s">
        <v>7</v>
      </c>
    </row>
    <row r="2" spans="1:3" x14ac:dyDescent="0.35">
      <c r="A2" t="s">
        <v>4</v>
      </c>
      <c r="B2">
        <v>10000</v>
      </c>
      <c r="C2">
        <f>B2*10</f>
        <v>100000</v>
      </c>
    </row>
    <row r="3" spans="1:3" x14ac:dyDescent="0.35">
      <c r="A3" t="s">
        <v>30</v>
      </c>
      <c r="B3">
        <v>100</v>
      </c>
      <c r="C3">
        <f t="shared" ref="C3:C7" si="0">B3*10</f>
        <v>1000</v>
      </c>
    </row>
    <row r="4" spans="1:3" x14ac:dyDescent="0.35">
      <c r="A4" t="s">
        <v>31</v>
      </c>
      <c r="B4">
        <v>10000</v>
      </c>
      <c r="C4">
        <f t="shared" si="0"/>
        <v>100000</v>
      </c>
    </row>
    <row r="5" spans="1:3" x14ac:dyDescent="0.35">
      <c r="A5" t="s">
        <v>32</v>
      </c>
      <c r="B5">
        <v>0.1</v>
      </c>
      <c r="C5">
        <f t="shared" si="0"/>
        <v>1</v>
      </c>
    </row>
    <row r="6" spans="1:3" x14ac:dyDescent="0.35">
      <c r="A6" t="s">
        <v>33</v>
      </c>
      <c r="B6">
        <v>800</v>
      </c>
      <c r="C6">
        <f t="shared" si="0"/>
        <v>8000</v>
      </c>
    </row>
    <row r="7" spans="1:3" x14ac:dyDescent="0.35">
      <c r="A7" t="s">
        <v>34</v>
      </c>
      <c r="B7">
        <v>2</v>
      </c>
      <c r="C7">
        <f t="shared" si="0"/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90DCB-9184-4A4C-ADAC-9EF9649A54F3}">
  <dimension ref="A1:C23"/>
  <sheetViews>
    <sheetView workbookViewId="0">
      <selection activeCell="F18" sqref="F18"/>
    </sheetView>
  </sheetViews>
  <sheetFormatPr defaultRowHeight="14.5" x14ac:dyDescent="0.35"/>
  <cols>
    <col min="1" max="1" width="24.54296875" bestFit="1" customWidth="1"/>
    <col min="2" max="2" width="57.6328125" bestFit="1" customWidth="1"/>
    <col min="3" max="3" width="5.453125" bestFit="1" customWidth="1"/>
  </cols>
  <sheetData>
    <row r="1" spans="1:3" x14ac:dyDescent="0.35">
      <c r="A1" t="s">
        <v>5</v>
      </c>
      <c r="B1" t="s">
        <v>35</v>
      </c>
      <c r="C1" t="s">
        <v>1</v>
      </c>
    </row>
    <row r="2" spans="1:3" x14ac:dyDescent="0.35">
      <c r="A2" t="s">
        <v>33</v>
      </c>
      <c r="B2" s="3" t="s">
        <v>120</v>
      </c>
      <c r="C2">
        <v>750</v>
      </c>
    </row>
    <row r="3" spans="1:3" x14ac:dyDescent="0.35">
      <c r="A3" t="s">
        <v>34</v>
      </c>
      <c r="B3" t="s">
        <v>36</v>
      </c>
      <c r="C3">
        <v>4</v>
      </c>
    </row>
    <row r="4" spans="1:3" x14ac:dyDescent="0.35">
      <c r="A4" t="s">
        <v>37</v>
      </c>
      <c r="B4" t="s">
        <v>38</v>
      </c>
      <c r="C4">
        <v>0.4</v>
      </c>
    </row>
    <row r="5" spans="1:3" x14ac:dyDescent="0.35">
      <c r="A5" t="s">
        <v>39</v>
      </c>
      <c r="B5" t="s">
        <v>40</v>
      </c>
      <c r="C5">
        <v>0.5</v>
      </c>
    </row>
    <row r="6" spans="1:3" x14ac:dyDescent="0.35">
      <c r="A6" t="s">
        <v>30</v>
      </c>
      <c r="B6" t="s">
        <v>41</v>
      </c>
      <c r="C6">
        <v>100</v>
      </c>
    </row>
    <row r="7" spans="1:3" x14ac:dyDescent="0.35">
      <c r="A7" t="s">
        <v>31</v>
      </c>
      <c r="B7" t="s">
        <v>42</v>
      </c>
      <c r="C7">
        <v>5000</v>
      </c>
    </row>
    <row r="8" spans="1:3" x14ac:dyDescent="0.35">
      <c r="A8" t="s">
        <v>43</v>
      </c>
      <c r="B8" s="3" t="s">
        <v>119</v>
      </c>
      <c r="C8">
        <v>500</v>
      </c>
    </row>
    <row r="9" spans="1:3" x14ac:dyDescent="0.35">
      <c r="A9" t="s">
        <v>44</v>
      </c>
      <c r="B9" t="s">
        <v>45</v>
      </c>
      <c r="C9">
        <v>900</v>
      </c>
    </row>
    <row r="10" spans="1:3" x14ac:dyDescent="0.35">
      <c r="A10" t="s">
        <v>46</v>
      </c>
      <c r="B10" t="s">
        <v>47</v>
      </c>
      <c r="C10">
        <v>0.1</v>
      </c>
    </row>
    <row r="11" spans="1:3" x14ac:dyDescent="0.35">
      <c r="A11" t="s">
        <v>48</v>
      </c>
      <c r="B11" t="s">
        <v>49</v>
      </c>
      <c r="C11">
        <v>0.6</v>
      </c>
    </row>
    <row r="12" spans="1:3" x14ac:dyDescent="0.35">
      <c r="A12" t="s">
        <v>50</v>
      </c>
      <c r="B12" t="s">
        <v>51</v>
      </c>
      <c r="C12">
        <v>0.15</v>
      </c>
    </row>
    <row r="13" spans="1:3" x14ac:dyDescent="0.35">
      <c r="A13" t="s">
        <v>52</v>
      </c>
      <c r="B13" t="s">
        <v>53</v>
      </c>
      <c r="C13">
        <v>0.1</v>
      </c>
    </row>
    <row r="14" spans="1:3" x14ac:dyDescent="0.35">
      <c r="A14" t="s">
        <v>54</v>
      </c>
      <c r="B14" s="3" t="s">
        <v>118</v>
      </c>
      <c r="C14">
        <v>3</v>
      </c>
    </row>
    <row r="15" spans="1:3" x14ac:dyDescent="0.35">
      <c r="A15" t="s">
        <v>55</v>
      </c>
      <c r="B15" t="s">
        <v>56</v>
      </c>
      <c r="C15">
        <v>11</v>
      </c>
    </row>
    <row r="16" spans="1:3" x14ac:dyDescent="0.35">
      <c r="A16" t="s">
        <v>57</v>
      </c>
      <c r="B16" t="s">
        <v>58</v>
      </c>
      <c r="C16">
        <v>0.75</v>
      </c>
    </row>
    <row r="17" spans="1:3" x14ac:dyDescent="0.35">
      <c r="A17" t="s">
        <v>59</v>
      </c>
      <c r="B17" t="s">
        <v>60</v>
      </c>
      <c r="C17">
        <v>10</v>
      </c>
    </row>
    <row r="18" spans="1:3" x14ac:dyDescent="0.35">
      <c r="A18" t="s">
        <v>61</v>
      </c>
      <c r="B18" t="s">
        <v>62</v>
      </c>
      <c r="C18">
        <v>0.12</v>
      </c>
    </row>
    <row r="19" spans="1:3" x14ac:dyDescent="0.35">
      <c r="A19" t="s">
        <v>63</v>
      </c>
      <c r="B19" t="s">
        <v>64</v>
      </c>
      <c r="C19">
        <v>0.03</v>
      </c>
    </row>
    <row r="20" spans="1:3" x14ac:dyDescent="0.35">
      <c r="A20" t="s">
        <v>65</v>
      </c>
      <c r="B20" t="s">
        <v>66</v>
      </c>
      <c r="C20">
        <v>45</v>
      </c>
    </row>
    <row r="21" spans="1:3" x14ac:dyDescent="0.35">
      <c r="A21" t="s">
        <v>67</v>
      </c>
      <c r="B21" t="s">
        <v>68</v>
      </c>
      <c r="C21">
        <v>1.5</v>
      </c>
    </row>
    <row r="22" spans="1:3" x14ac:dyDescent="0.35">
      <c r="A22" t="s">
        <v>69</v>
      </c>
      <c r="B22" s="3" t="s">
        <v>117</v>
      </c>
      <c r="C22">
        <v>9.81</v>
      </c>
    </row>
    <row r="23" spans="1:3" x14ac:dyDescent="0.35">
      <c r="A23" t="s">
        <v>70</v>
      </c>
      <c r="B23" t="s">
        <v>71</v>
      </c>
      <c r="C23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876A8-317C-4419-AD33-026FAB570D50}">
  <dimension ref="A1:C17"/>
  <sheetViews>
    <sheetView workbookViewId="0">
      <selection activeCell="C2" sqref="C2"/>
    </sheetView>
  </sheetViews>
  <sheetFormatPr defaultRowHeight="14.5" x14ac:dyDescent="0.35"/>
  <cols>
    <col min="1" max="1" width="19.81640625" bestFit="1" customWidth="1"/>
    <col min="2" max="2" width="50" bestFit="1" customWidth="1"/>
    <col min="3" max="3" width="77.54296875" bestFit="1" customWidth="1"/>
  </cols>
  <sheetData>
    <row r="1" spans="1:3" x14ac:dyDescent="0.35">
      <c r="A1" t="s">
        <v>72</v>
      </c>
      <c r="B1" t="s">
        <v>35</v>
      </c>
      <c r="C1" t="s">
        <v>73</v>
      </c>
    </row>
    <row r="2" spans="1:3" x14ac:dyDescent="0.35">
      <c r="A2" t="s">
        <v>74</v>
      </c>
      <c r="B2" s="3" t="s">
        <v>121</v>
      </c>
      <c r="C2" t="s">
        <v>75</v>
      </c>
    </row>
    <row r="3" spans="1:3" x14ac:dyDescent="0.35">
      <c r="A3" t="s">
        <v>76</v>
      </c>
      <c r="B3" t="s">
        <v>77</v>
      </c>
      <c r="C3" t="s">
        <v>78</v>
      </c>
    </row>
    <row r="4" spans="1:3" x14ac:dyDescent="0.35">
      <c r="A4" t="s">
        <v>79</v>
      </c>
      <c r="B4" t="s">
        <v>80</v>
      </c>
      <c r="C4" t="s">
        <v>81</v>
      </c>
    </row>
    <row r="5" spans="1:3" x14ac:dyDescent="0.35">
      <c r="A5" t="s">
        <v>82</v>
      </c>
      <c r="B5" t="s">
        <v>83</v>
      </c>
      <c r="C5" t="s">
        <v>84</v>
      </c>
    </row>
    <row r="6" spans="1:3" x14ac:dyDescent="0.35">
      <c r="A6" t="s">
        <v>85</v>
      </c>
      <c r="B6" t="s">
        <v>86</v>
      </c>
      <c r="C6" t="s">
        <v>87</v>
      </c>
    </row>
    <row r="7" spans="1:3" x14ac:dyDescent="0.35">
      <c r="A7" t="s">
        <v>88</v>
      </c>
      <c r="B7" t="s">
        <v>89</v>
      </c>
      <c r="C7" t="s">
        <v>90</v>
      </c>
    </row>
    <row r="8" spans="1:3" x14ac:dyDescent="0.35">
      <c r="A8" t="s">
        <v>91</v>
      </c>
      <c r="B8" t="s">
        <v>92</v>
      </c>
      <c r="C8" t="s">
        <v>93</v>
      </c>
    </row>
    <row r="9" spans="1:3" x14ac:dyDescent="0.35">
      <c r="A9" t="s">
        <v>94</v>
      </c>
      <c r="B9" t="s">
        <v>95</v>
      </c>
      <c r="C9" t="s">
        <v>96</v>
      </c>
    </row>
    <row r="10" spans="1:3" x14ac:dyDescent="0.35">
      <c r="A10" t="s">
        <v>97</v>
      </c>
      <c r="B10" t="s">
        <v>98</v>
      </c>
      <c r="C10" t="s">
        <v>99</v>
      </c>
    </row>
    <row r="11" spans="1:3" x14ac:dyDescent="0.35">
      <c r="A11" t="s">
        <v>27</v>
      </c>
      <c r="B11" t="s">
        <v>100</v>
      </c>
      <c r="C11" t="s">
        <v>101</v>
      </c>
    </row>
    <row r="12" spans="1:3" x14ac:dyDescent="0.35">
      <c r="A12" t="s">
        <v>102</v>
      </c>
      <c r="B12" s="3" t="s">
        <v>122</v>
      </c>
      <c r="C12" t="s">
        <v>103</v>
      </c>
    </row>
    <row r="13" spans="1:3" x14ac:dyDescent="0.35">
      <c r="A13" t="s">
        <v>104</v>
      </c>
      <c r="B13" t="s">
        <v>105</v>
      </c>
      <c r="C13" t="s">
        <v>106</v>
      </c>
    </row>
    <row r="14" spans="1:3" x14ac:dyDescent="0.35">
      <c r="A14" t="s">
        <v>107</v>
      </c>
      <c r="B14" t="s">
        <v>108</v>
      </c>
      <c r="C14" t="s">
        <v>109</v>
      </c>
    </row>
    <row r="15" spans="1:3" x14ac:dyDescent="0.35">
      <c r="A15" t="s">
        <v>110</v>
      </c>
      <c r="B15" t="s">
        <v>111</v>
      </c>
      <c r="C15" t="s">
        <v>112</v>
      </c>
    </row>
    <row r="16" spans="1:3" x14ac:dyDescent="0.35">
      <c r="A16" t="s">
        <v>23</v>
      </c>
      <c r="B16" t="s">
        <v>113</v>
      </c>
      <c r="C16" t="s">
        <v>114</v>
      </c>
    </row>
    <row r="17" spans="1:3" x14ac:dyDescent="0.35">
      <c r="A17" t="s">
        <v>28</v>
      </c>
      <c r="B17" t="s">
        <v>115</v>
      </c>
      <c r="C17" t="s">
        <v>116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>
      <selection activeCell="A2" sqref="A2:A16"/>
    </sheetView>
  </sheetViews>
  <sheetFormatPr defaultRowHeight="14.5" x14ac:dyDescent="0.35"/>
  <cols>
    <col min="1" max="1" width="11.36328125" bestFit="1" customWidth="1"/>
    <col min="2" max="2" width="8.36328125" bestFit="1" customWidth="1"/>
  </cols>
  <sheetData>
    <row r="1" spans="1:2" x14ac:dyDescent="0.35">
      <c r="A1" s="1" t="s">
        <v>5</v>
      </c>
      <c r="B1" s="1" t="s">
        <v>1</v>
      </c>
    </row>
    <row r="2" spans="1:2" x14ac:dyDescent="0.35">
      <c r="A2" s="2" t="s">
        <v>8</v>
      </c>
      <c r="B2">
        <v>15.30182353654962</v>
      </c>
    </row>
    <row r="3" spans="1:2" x14ac:dyDescent="0.35">
      <c r="A3" s="2" t="s">
        <v>9</v>
      </c>
      <c r="B3">
        <v>1370.1019480783889</v>
      </c>
    </row>
    <row r="4" spans="1:2" x14ac:dyDescent="0.35">
      <c r="A4" s="2" t="s">
        <v>10</v>
      </c>
      <c r="B4">
        <v>1.4790660490900831</v>
      </c>
    </row>
    <row r="5" spans="1:2" x14ac:dyDescent="0.35">
      <c r="A5" s="2" t="s">
        <v>11</v>
      </c>
      <c r="B5">
        <v>19.660271109244469</v>
      </c>
    </row>
    <row r="6" spans="1:2" x14ac:dyDescent="0.35">
      <c r="A6" s="2" t="s">
        <v>12</v>
      </c>
      <c r="B6">
        <v>300.11969116517008</v>
      </c>
    </row>
    <row r="7" spans="1:2" x14ac:dyDescent="0.35">
      <c r="A7" s="2" t="s">
        <v>13</v>
      </c>
      <c r="B7">
        <v>43.543633164702307</v>
      </c>
    </row>
    <row r="8" spans="1:2" x14ac:dyDescent="0.35">
      <c r="A8" s="2" t="s">
        <v>14</v>
      </c>
      <c r="B8">
        <v>5.9128477477474206</v>
      </c>
    </row>
    <row r="9" spans="1:2" x14ac:dyDescent="0.35">
      <c r="A9" s="2" t="s">
        <v>15</v>
      </c>
      <c r="B9">
        <v>5.3352533564363473E-3</v>
      </c>
    </row>
    <row r="10" spans="1:2" x14ac:dyDescent="0.35">
      <c r="A10" s="2" t="s">
        <v>16</v>
      </c>
      <c r="B10">
        <v>17.246973718716379</v>
      </c>
    </row>
    <row r="11" spans="1:2" x14ac:dyDescent="0.35">
      <c r="A11" s="2" t="s">
        <v>17</v>
      </c>
      <c r="B11">
        <v>0.18005230397620631</v>
      </c>
    </row>
    <row r="12" spans="1:2" x14ac:dyDescent="0.35">
      <c r="A12" s="2" t="s">
        <v>18</v>
      </c>
      <c r="B12">
        <v>87.393417561510091</v>
      </c>
    </row>
    <row r="13" spans="1:2" x14ac:dyDescent="0.35">
      <c r="A13" s="2" t="s">
        <v>19</v>
      </c>
      <c r="B13">
        <v>3022.197505679067</v>
      </c>
    </row>
    <row r="14" spans="1:2" x14ac:dyDescent="0.35">
      <c r="A14" s="2" t="s">
        <v>20</v>
      </c>
      <c r="B14">
        <v>105.7547487555956</v>
      </c>
    </row>
    <row r="15" spans="1:2" x14ac:dyDescent="0.35">
      <c r="A15" s="2" t="s">
        <v>21</v>
      </c>
      <c r="B15">
        <v>80.005588615161301</v>
      </c>
    </row>
    <row r="16" spans="1:2" x14ac:dyDescent="0.35">
      <c r="A16" s="2" t="s">
        <v>22</v>
      </c>
      <c r="B16">
        <v>108.203686922611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tabSelected="1" workbookViewId="0">
      <selection activeCell="A4" sqref="A4:XFD4"/>
    </sheetView>
  </sheetViews>
  <sheetFormatPr defaultColWidth="18.1796875" defaultRowHeight="14.5" x14ac:dyDescent="0.35"/>
  <cols>
    <col min="1" max="1" width="18.08984375" style="6" bestFit="1" customWidth="1"/>
    <col min="2" max="2" width="7.81640625" style="6" bestFit="1" customWidth="1"/>
    <col min="3" max="3" width="8.81640625" style="6" bestFit="1" customWidth="1"/>
    <col min="4" max="4" width="17.90625" style="6" bestFit="1" customWidth="1"/>
    <col min="5" max="5" width="115.26953125" style="6" customWidth="1"/>
    <col min="6" max="16384" width="18.1796875" style="6"/>
  </cols>
  <sheetData>
    <row r="1" spans="1:5" x14ac:dyDescent="0.35">
      <c r="A1" s="4" t="s">
        <v>24</v>
      </c>
      <c r="B1" s="4" t="s">
        <v>25</v>
      </c>
      <c r="C1" s="4" t="s">
        <v>26</v>
      </c>
      <c r="D1" s="5" t="s">
        <v>125</v>
      </c>
      <c r="E1" s="5" t="s">
        <v>126</v>
      </c>
    </row>
    <row r="2" spans="1:5" ht="43.5" x14ac:dyDescent="0.35">
      <c r="A2" s="6" t="s">
        <v>127</v>
      </c>
      <c r="B2" s="6">
        <v>60</v>
      </c>
      <c r="C2" s="6">
        <v>300</v>
      </c>
      <c r="D2" s="6" t="s">
        <v>128</v>
      </c>
      <c r="E2" s="6" t="s">
        <v>133</v>
      </c>
    </row>
    <row r="3" spans="1:5" ht="43.5" x14ac:dyDescent="0.35">
      <c r="A3" s="6" t="s">
        <v>129</v>
      </c>
      <c r="B3" s="6">
        <v>30</v>
      </c>
      <c r="C3" s="6">
        <v>100</v>
      </c>
      <c r="D3" s="6" t="s">
        <v>128</v>
      </c>
      <c r="E3" s="6" t="s">
        <v>134</v>
      </c>
    </row>
    <row r="4" spans="1:5" ht="58" x14ac:dyDescent="0.35">
      <c r="A4" s="6" t="s">
        <v>130</v>
      </c>
      <c r="B4" s="6">
        <v>1</v>
      </c>
      <c r="C4" s="6">
        <v>10</v>
      </c>
      <c r="D4" s="6" t="s">
        <v>135</v>
      </c>
      <c r="E4" s="6" t="s">
        <v>136</v>
      </c>
    </row>
    <row r="5" spans="1:5" ht="43.5" x14ac:dyDescent="0.35">
      <c r="A5" s="6" t="s">
        <v>131</v>
      </c>
      <c r="B5" s="6">
        <v>70</v>
      </c>
      <c r="C5" s="6">
        <v>200</v>
      </c>
      <c r="D5" s="6" t="s">
        <v>128</v>
      </c>
      <c r="E5" s="6" t="s">
        <v>132</v>
      </c>
    </row>
    <row r="6" spans="1:5" ht="43.5" x14ac:dyDescent="0.35">
      <c r="A6" s="6" t="s">
        <v>123</v>
      </c>
      <c r="B6" s="6">
        <v>2</v>
      </c>
      <c r="C6" s="6">
        <v>9</v>
      </c>
      <c r="D6" s="6" t="s">
        <v>137</v>
      </c>
      <c r="E6" s="6" t="s">
        <v>138</v>
      </c>
    </row>
    <row r="7" spans="1:5" ht="43.5" x14ac:dyDescent="0.35">
      <c r="A7" s="6" t="s">
        <v>124</v>
      </c>
      <c r="B7" s="6">
        <v>14</v>
      </c>
      <c r="C7" s="6">
        <v>30</v>
      </c>
      <c r="D7" s="6" t="s">
        <v>139</v>
      </c>
      <c r="E7" s="6" t="s">
        <v>140</v>
      </c>
    </row>
    <row r="8" spans="1:5" x14ac:dyDescent="0.35">
      <c r="A8" s="6" t="s">
        <v>27</v>
      </c>
      <c r="B8" s="6">
        <v>8000000</v>
      </c>
      <c r="C8" s="6">
        <f>B8*1.7</f>
        <v>13600000</v>
      </c>
      <c r="D8" s="6" t="s">
        <v>141</v>
      </c>
      <c r="E8" s="6" t="s">
        <v>141</v>
      </c>
    </row>
    <row r="9" spans="1:5" x14ac:dyDescent="0.35">
      <c r="A9" s="6" t="s">
        <v>28</v>
      </c>
      <c r="B9" s="6">
        <f>B8/10</f>
        <v>800000</v>
      </c>
      <c r="C9" s="6">
        <f>B9*1.8</f>
        <v>1440000</v>
      </c>
      <c r="D9" s="6" t="s">
        <v>141</v>
      </c>
      <c r="E9" s="6" t="s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config</vt:lpstr>
      <vt:lpstr>decision_var</vt:lpstr>
      <vt:lpstr>decision_var_bound</vt:lpstr>
      <vt:lpstr>cost_var</vt:lpstr>
      <vt:lpstr>capex_calc</vt:lpstr>
      <vt:lpstr>influent_compound_conc</vt:lpstr>
      <vt:lpstr>fuzzy_goal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Egberto Selerio Jr.</cp:lastModifiedBy>
  <dcterms:created xsi:type="dcterms:W3CDTF">2025-06-24T22:25:53Z</dcterms:created>
  <dcterms:modified xsi:type="dcterms:W3CDTF">2025-07-12T09:15:06Z</dcterms:modified>
</cp:coreProperties>
</file>