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ggy\dissertation-files-final\bioreactor-implementation-june\data\"/>
    </mc:Choice>
  </mc:AlternateContent>
  <xr:revisionPtr revIDLastSave="0" documentId="13_ncr:1_{42B9FF5E-670F-4C9E-9ED4-C992E6B01FDA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config" sheetId="1" r:id="rId1"/>
    <sheet name="decision_var" sheetId="2" r:id="rId2"/>
    <sheet name="decision_var_bound" sheetId="3" r:id="rId3"/>
    <sheet name="influent_compound_conc" sheetId="4" r:id="rId4"/>
    <sheet name="cost_param" sheetId="5" r:id="rId5"/>
    <sheet name="fuzzy_go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B7" i="6"/>
  <c r="C6" i="6"/>
</calcChain>
</file>

<file path=xl/sharedStrings.xml><?xml version="1.0" encoding="utf-8"?>
<sst xmlns="http://schemas.openxmlformats.org/spreadsheetml/2006/main" count="56" uniqueCount="49">
  <si>
    <t>Parameter</t>
  </si>
  <si>
    <t>Value</t>
  </si>
  <si>
    <t>model_path</t>
  </si>
  <si>
    <t>models/clefo_model.joblib</t>
  </si>
  <si>
    <t>I_variables</t>
  </si>
  <si>
    <t>flow_rate</t>
  </si>
  <si>
    <t>HRT</t>
  </si>
  <si>
    <t>DO_setpoint</t>
  </si>
  <si>
    <t>Variable</t>
  </si>
  <si>
    <t>LowerBound</t>
  </si>
  <si>
    <t>UpperBound</t>
  </si>
  <si>
    <t>inf_S_I</t>
  </si>
  <si>
    <t>inf_X_I</t>
  </si>
  <si>
    <t>inf_S_F</t>
  </si>
  <si>
    <t>inf_S_A</t>
  </si>
  <si>
    <t>inf_X_S</t>
  </si>
  <si>
    <t>inf_S_NH4</t>
  </si>
  <si>
    <t>inf_S_N2</t>
  </si>
  <si>
    <t>inf_S_NO3</t>
  </si>
  <si>
    <t>inf_S_PO4</t>
  </si>
  <si>
    <t>inf_X_PP</t>
  </si>
  <si>
    <t>inf_X_PHA</t>
  </si>
  <si>
    <t>inf_X_H</t>
  </si>
  <si>
    <t>inf_X_AUT</t>
  </si>
  <si>
    <t>inf_X_PAO</t>
  </si>
  <si>
    <t>inf_S_ALK</t>
  </si>
  <si>
    <t>inf_S_O2</t>
  </si>
  <si>
    <t>inf_X_MeOH</t>
  </si>
  <si>
    <t>inf_X_MeP</t>
  </si>
  <si>
    <t>C_base</t>
  </si>
  <si>
    <t>V_base</t>
  </si>
  <si>
    <t>n</t>
  </si>
  <si>
    <t>F_BM</t>
  </si>
  <si>
    <t>P_mix_specific</t>
  </si>
  <si>
    <t>eta_aerator</t>
  </si>
  <si>
    <t>p_elec</t>
  </si>
  <si>
    <t>H_op</t>
  </si>
  <si>
    <t>f_maint</t>
  </si>
  <si>
    <t>C_labor</t>
  </si>
  <si>
    <t>rho_O2_bio</t>
  </si>
  <si>
    <t>Goal</t>
  </si>
  <si>
    <t>Target</t>
  </si>
  <si>
    <t>Max</t>
  </si>
  <si>
    <t>Effluent_S_NH4</t>
  </si>
  <si>
    <t>Effluent_S_NO3</t>
  </si>
  <si>
    <t>Effluent_S_PO4</t>
  </si>
  <si>
    <t>Effluent_X_S</t>
  </si>
  <si>
    <t>CAPEX</t>
  </si>
  <si>
    <t>AOC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</si>
</sst>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:XFD3"/>
    </sheetView>
  </sheetViews>
  <sheetFormatPr defaultRowHeight="14.5" x14ac:dyDescent="0.35"/>
  <cols>
    <col min="1" max="1" width="10.90625" bestFit="1" customWidth="1"/>
    <col min="2" max="2" width="23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F11" sqref="F11"/>
    </sheetView>
  </sheetViews>
  <sheetFormatPr defaultRowHeight="14.5" x14ac:dyDescent="0.35"/>
  <cols>
    <col min="1" max="1" width="11.26953125" bestFit="1" customWidth="1"/>
  </cols>
  <sheetData>
    <row r="1" spans="1:1" x14ac:dyDescent="0.35">
      <c r="A1" s="1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2" sqref="C12"/>
    </sheetView>
  </sheetViews>
  <sheetFormatPr defaultRowHeight="14.5" x14ac:dyDescent="0.35"/>
  <cols>
    <col min="1" max="1" width="11.26953125" bestFit="1" customWidth="1"/>
    <col min="2" max="2" width="11.36328125" bestFit="1" customWidth="1"/>
    <col min="3" max="3" width="11.453125" bestFit="1" customWidth="1"/>
  </cols>
  <sheetData>
    <row r="1" spans="1:3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5</v>
      </c>
      <c r="B2">
        <v>10000</v>
      </c>
      <c r="C2">
        <v>15000</v>
      </c>
    </row>
    <row r="3" spans="1:3" x14ac:dyDescent="0.35">
      <c r="A3" t="s">
        <v>6</v>
      </c>
      <c r="B3">
        <v>4</v>
      </c>
      <c r="C3">
        <v>24</v>
      </c>
    </row>
    <row r="4" spans="1:3" x14ac:dyDescent="0.35">
      <c r="A4" t="s">
        <v>7</v>
      </c>
      <c r="B4">
        <v>1</v>
      </c>
      <c r="C4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>
      <selection activeCell="B20" sqref="B20"/>
    </sheetView>
  </sheetViews>
  <sheetFormatPr defaultRowHeight="14.5" x14ac:dyDescent="0.35"/>
  <cols>
    <col min="1" max="1" width="11.36328125" bestFit="1" customWidth="1"/>
    <col min="2" max="2" width="8.36328125" bestFit="1" customWidth="1"/>
  </cols>
  <sheetData>
    <row r="1" spans="1:2" x14ac:dyDescent="0.35">
      <c r="A1" s="1" t="s">
        <v>8</v>
      </c>
      <c r="B1" s="1" t="s">
        <v>1</v>
      </c>
    </row>
    <row r="2" spans="1:2" x14ac:dyDescent="0.35">
      <c r="A2" s="2" t="s">
        <v>11</v>
      </c>
      <c r="B2" s="2">
        <v>8</v>
      </c>
    </row>
    <row r="3" spans="1:2" x14ac:dyDescent="0.35">
      <c r="A3" s="2" t="s">
        <v>12</v>
      </c>
      <c r="B3" s="2">
        <v>100</v>
      </c>
    </row>
    <row r="4" spans="1:2" x14ac:dyDescent="0.35">
      <c r="A4" s="2" t="s">
        <v>13</v>
      </c>
      <c r="B4" s="2">
        <v>60</v>
      </c>
    </row>
    <row r="5" spans="1:2" x14ac:dyDescent="0.35">
      <c r="A5" s="2" t="s">
        <v>14</v>
      </c>
      <c r="B5" s="2">
        <v>200</v>
      </c>
    </row>
    <row r="6" spans="1:2" x14ac:dyDescent="0.35">
      <c r="A6" s="2" t="s">
        <v>15</v>
      </c>
      <c r="B6" s="2">
        <v>800</v>
      </c>
    </row>
    <row r="7" spans="1:2" x14ac:dyDescent="0.35">
      <c r="A7" s="2" t="s">
        <v>16</v>
      </c>
      <c r="B7" s="2">
        <v>100</v>
      </c>
    </row>
    <row r="8" spans="1:2" x14ac:dyDescent="0.35">
      <c r="A8" s="2" t="s">
        <v>17</v>
      </c>
      <c r="B8" s="2">
        <v>1</v>
      </c>
    </row>
    <row r="9" spans="1:2" x14ac:dyDescent="0.35">
      <c r="A9" s="2" t="s">
        <v>18</v>
      </c>
      <c r="B9" s="2">
        <v>2</v>
      </c>
    </row>
    <row r="10" spans="1:2" x14ac:dyDescent="0.35">
      <c r="A10" s="2" t="s">
        <v>19</v>
      </c>
      <c r="B10" s="2">
        <v>10</v>
      </c>
    </row>
    <row r="11" spans="1:2" x14ac:dyDescent="0.35">
      <c r="A11" s="2" t="s">
        <v>20</v>
      </c>
      <c r="B11" s="2">
        <v>2</v>
      </c>
    </row>
    <row r="12" spans="1:2" x14ac:dyDescent="0.35">
      <c r="A12" s="2" t="s">
        <v>21</v>
      </c>
      <c r="B12" s="2">
        <v>100</v>
      </c>
    </row>
    <row r="13" spans="1:2" x14ac:dyDescent="0.35">
      <c r="A13" s="2" t="s">
        <v>22</v>
      </c>
      <c r="B13" s="2">
        <v>2000</v>
      </c>
    </row>
    <row r="14" spans="1:2" x14ac:dyDescent="0.35">
      <c r="A14" s="2" t="s">
        <v>23</v>
      </c>
      <c r="B14" s="2">
        <v>200</v>
      </c>
    </row>
    <row r="15" spans="1:2" x14ac:dyDescent="0.35">
      <c r="A15" s="2" t="s">
        <v>24</v>
      </c>
      <c r="B15" s="2">
        <v>100</v>
      </c>
    </row>
    <row r="16" spans="1:2" x14ac:dyDescent="0.35">
      <c r="A16" s="2" t="s">
        <v>25</v>
      </c>
      <c r="B16" s="2">
        <v>150</v>
      </c>
    </row>
    <row r="17" spans="1:2" x14ac:dyDescent="0.35">
      <c r="A17" s="2" t="s">
        <v>26</v>
      </c>
      <c r="B17" s="2">
        <v>1</v>
      </c>
    </row>
    <row r="18" spans="1:2" x14ac:dyDescent="0.35">
      <c r="A18" s="2" t="s">
        <v>27</v>
      </c>
      <c r="B18" s="2">
        <v>2</v>
      </c>
    </row>
    <row r="19" spans="1:2" x14ac:dyDescent="0.35">
      <c r="A19" s="2" t="s">
        <v>28</v>
      </c>
      <c r="B19" s="2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E29" sqref="E29"/>
    </sheetView>
  </sheetViews>
  <sheetFormatPr defaultRowHeight="14.5" x14ac:dyDescent="0.35"/>
  <cols>
    <col min="1" max="1" width="13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29</v>
      </c>
      <c r="B2">
        <v>500000</v>
      </c>
    </row>
    <row r="3" spans="1:2" x14ac:dyDescent="0.35">
      <c r="A3" t="s">
        <v>30</v>
      </c>
      <c r="B3">
        <v>1000</v>
      </c>
    </row>
    <row r="4" spans="1:2" x14ac:dyDescent="0.35">
      <c r="A4" t="s">
        <v>31</v>
      </c>
      <c r="B4">
        <v>1</v>
      </c>
    </row>
    <row r="5" spans="1:2" x14ac:dyDescent="0.35">
      <c r="A5" t="s">
        <v>32</v>
      </c>
      <c r="B5">
        <v>2.5</v>
      </c>
    </row>
    <row r="6" spans="1:2" x14ac:dyDescent="0.35">
      <c r="A6" t="s">
        <v>33</v>
      </c>
      <c r="B6">
        <v>1.4999999999999999E-2</v>
      </c>
    </row>
    <row r="7" spans="1:2" x14ac:dyDescent="0.35">
      <c r="A7" t="s">
        <v>34</v>
      </c>
      <c r="B7">
        <v>2000</v>
      </c>
    </row>
    <row r="8" spans="1:2" x14ac:dyDescent="0.35">
      <c r="A8" t="s">
        <v>35</v>
      </c>
      <c r="B8">
        <v>0.12</v>
      </c>
    </row>
    <row r="9" spans="1:2" x14ac:dyDescent="0.35">
      <c r="A9" t="s">
        <v>36</v>
      </c>
      <c r="B9">
        <v>8760</v>
      </c>
    </row>
    <row r="10" spans="1:2" x14ac:dyDescent="0.35">
      <c r="A10" t="s">
        <v>37</v>
      </c>
      <c r="B10">
        <v>0.03</v>
      </c>
    </row>
    <row r="11" spans="1:2" x14ac:dyDescent="0.35">
      <c r="A11" t="s">
        <v>38</v>
      </c>
      <c r="B11">
        <v>200000</v>
      </c>
    </row>
    <row r="12" spans="1:2" x14ac:dyDescent="0.35">
      <c r="A12" t="s">
        <v>39</v>
      </c>
      <c r="B12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workbookViewId="0">
      <selection activeCell="E19" sqref="E19"/>
    </sheetView>
  </sheetViews>
  <sheetFormatPr defaultRowHeight="14.5" x14ac:dyDescent="0.35"/>
  <cols>
    <col min="1" max="1" width="14" bestFit="1" customWidth="1"/>
  </cols>
  <sheetData>
    <row r="1" spans="1:3" x14ac:dyDescent="0.35">
      <c r="A1" s="1" t="s">
        <v>40</v>
      </c>
      <c r="B1" s="1" t="s">
        <v>41</v>
      </c>
      <c r="C1" s="1" t="s">
        <v>42</v>
      </c>
    </row>
    <row r="2" spans="1:3" x14ac:dyDescent="0.35">
      <c r="A2" t="s">
        <v>43</v>
      </c>
      <c r="B2">
        <v>0</v>
      </c>
      <c r="C2">
        <v>52</v>
      </c>
    </row>
    <row r="3" spans="1:3" x14ac:dyDescent="0.35">
      <c r="A3" t="s">
        <v>44</v>
      </c>
      <c r="B3">
        <v>0</v>
      </c>
      <c r="C3">
        <v>35</v>
      </c>
    </row>
    <row r="4" spans="1:3" x14ac:dyDescent="0.35">
      <c r="A4" t="s">
        <v>45</v>
      </c>
      <c r="B4">
        <v>0</v>
      </c>
      <c r="C4">
        <v>5</v>
      </c>
    </row>
    <row r="5" spans="1:3" x14ac:dyDescent="0.35">
      <c r="A5" t="s">
        <v>46</v>
      </c>
      <c r="B5">
        <v>0</v>
      </c>
      <c r="C5">
        <v>700</v>
      </c>
    </row>
    <row r="6" spans="1:3" x14ac:dyDescent="0.35">
      <c r="A6" t="s">
        <v>47</v>
      </c>
      <c r="B6">
        <v>20000000</v>
      </c>
      <c r="C6">
        <f>B6*1.7</f>
        <v>34000000</v>
      </c>
    </row>
    <row r="7" spans="1:3" x14ac:dyDescent="0.35">
      <c r="A7" t="s">
        <v>48</v>
      </c>
      <c r="B7">
        <f>B6/10</f>
        <v>2000000</v>
      </c>
      <c r="C7">
        <f>B7*1.8</f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decision_var</vt:lpstr>
      <vt:lpstr>decision_var_bound</vt:lpstr>
      <vt:lpstr>influent_compound_conc</vt:lpstr>
      <vt:lpstr>cost_param</vt:lpstr>
      <vt:lpstr>fuzzy_goal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Egberto Selerio Jr.</cp:lastModifiedBy>
  <dcterms:created xsi:type="dcterms:W3CDTF">2025-06-24T22:25:53Z</dcterms:created>
  <dcterms:modified xsi:type="dcterms:W3CDTF">2025-07-09T15:15:40Z</dcterms:modified>
</cp:coreProperties>
</file>