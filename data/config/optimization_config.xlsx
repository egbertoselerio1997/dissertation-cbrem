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elerio\projects\dissertation-cbrem\data\config\"/>
    </mc:Choice>
  </mc:AlternateContent>
  <xr:revisionPtr revIDLastSave="0" documentId="13_ncr:1_{808B2EE2-F26B-4B6B-B217-89F9031FDD3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onfig" sheetId="1" r:id="rId1"/>
    <sheet name="raw_influent_compound_conc" sheetId="2" r:id="rId2"/>
    <sheet name="decision_var" sheetId="3" r:id="rId3"/>
    <sheet name="decision_var_bound" sheetId="4" r:id="rId4"/>
    <sheet name="fuzzy_goal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<sst xmlns="http://schemas.openxmlformats.org/spreadsheetml/2006/main" count="97" uniqueCount="77">
  <si>
    <t>Parameter</t>
  </si>
  <si>
    <t>Value</t>
  </si>
  <si>
    <t>cstr_model_path</t>
  </si>
  <si>
    <t>clarifier_model_path</t>
  </si>
  <si>
    <t>Variable</t>
  </si>
  <si>
    <t>Description</t>
  </si>
  <si>
    <t>I_variables</t>
  </si>
  <si>
    <t>Process Unit</t>
  </si>
  <si>
    <t>Q_raw_inf</t>
  </si>
  <si>
    <t>Q_was</t>
  </si>
  <si>
    <t>Q_ext</t>
  </si>
  <si>
    <t>Q_int</t>
  </si>
  <si>
    <t>V</t>
  </si>
  <si>
    <t>KLa</t>
  </si>
  <si>
    <t>C1_surface_area</t>
  </si>
  <si>
    <t>C1_height</t>
  </si>
  <si>
    <t>plant-wide</t>
  </si>
  <si>
    <t>LowerBound</t>
  </si>
  <si>
    <t>UpperBound</t>
  </si>
  <si>
    <t>Goal</t>
  </si>
  <si>
    <t>Target</t>
  </si>
  <si>
    <t>Max</t>
  </si>
  <si>
    <t>Target_Effluent_COD (mg/L)</t>
  </si>
  <si>
    <t>Target_Effluent_BOD (mg/L)</t>
  </si>
  <si>
    <t>Target_Effluent_TP (mg/L)</t>
  </si>
  <si>
    <t>Path to the trained CSTR surrogate model.</t>
  </si>
  <si>
    <t>cstr</t>
  </si>
  <si>
    <t>Path to the trained Clarifier surrogate model.</t>
  </si>
  <si>
    <t>clarifier</t>
  </si>
  <si>
    <t>inf_S_I</t>
  </si>
  <si>
    <t>Raw Influent Soluble Inert (mg/L)</t>
  </si>
  <si>
    <t>inf_X_I</t>
  </si>
  <si>
    <t>Raw Influent Particulate Inert (mg/L)</t>
  </si>
  <si>
    <t>inf_S_F</t>
  </si>
  <si>
    <t>Raw Influent Readily Biodegradable Substrate (mg/L)</t>
  </si>
  <si>
    <t>inf_S_A</t>
  </si>
  <si>
    <t>Raw Influent Acidogenic Fermentation Products (mg/L)</t>
  </si>
  <si>
    <t>inf_X_S</t>
  </si>
  <si>
    <t>Raw Influent Slowly Biodegradable Substrate (mg/L)</t>
  </si>
  <si>
    <t>inf_S_NH4</t>
  </si>
  <si>
    <t>Raw Influent Ammonium (mg/L)</t>
  </si>
  <si>
    <t>inf_S_O2</t>
  </si>
  <si>
    <t>Raw Influent Oxygen Gas (mg/L)</t>
  </si>
  <si>
    <t>inf_S_N2</t>
  </si>
  <si>
    <t>Raw Influent Nitrogen Gas (mg/L)</t>
  </si>
  <si>
    <t>inf_S_NO3</t>
  </si>
  <si>
    <t>Raw Influent Nitrate (mg/L)</t>
  </si>
  <si>
    <t>inf_S_PO4</t>
  </si>
  <si>
    <t>Raw Influent Phosphate (mg/L)</t>
  </si>
  <si>
    <t>inf_X_PP</t>
  </si>
  <si>
    <t>Raw Influent Precipitated Phosphate (mg/L)</t>
  </si>
  <si>
    <t>inf_X_PHA</t>
  </si>
  <si>
    <t>Raw Influent Polyhydroxyalkanoates (mg/L)</t>
  </si>
  <si>
    <t>inf_X_H</t>
  </si>
  <si>
    <t>Raw Influent Heterotrophic Biomass (mg/L)</t>
  </si>
  <si>
    <t>inf_X_AUT</t>
  </si>
  <si>
    <t>Raw Influent Autotrophic Biomass (mg/L)</t>
  </si>
  <si>
    <t>inf_X_PAO</t>
  </si>
  <si>
    <t>Raw Influent PAO Biomass (mg/L)</t>
  </si>
  <si>
    <t>inf_S_ALK</t>
  </si>
  <si>
    <t>Raw Influent Alkalinity (mg/L as CaCO3)</t>
  </si>
  <si>
    <t>Raw influent flowrate [m3/d]</t>
  </si>
  <si>
    <t>External recycle flowrate [m3/d]</t>
  </si>
  <si>
    <t>Individual CSTR tank volume [m3]</t>
  </si>
  <si>
    <t>Individual CSTR KLa [1/d]</t>
  </si>
  <si>
    <t>Clarifier surface area [m2]</t>
  </si>
  <si>
    <t>Clarifier height [m]</t>
  </si>
  <si>
    <t>inf_X_MeOH</t>
  </si>
  <si>
    <t>Raw Influent Methanol (mg/L)</t>
  </si>
  <si>
    <t>inf_X_MeP</t>
  </si>
  <si>
    <t>Raw Influent Methyl-phosphate (mg/L)</t>
  </si>
  <si>
    <t>Internal recycle flowrate [m3/d]</t>
  </si>
  <si>
    <t>Wastage flow [m3/d]</t>
  </si>
  <si>
    <t>Target_Effluent_TN (mg/L)</t>
  </si>
  <si>
    <t>Target_Effluent_TKN (mg/L)</t>
  </si>
  <si>
    <t>data\results\training\clefo\clarifier\clarifier.joblib</t>
  </si>
  <si>
    <t>data\results\training\clefo\cstr\cstr.joblib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</si>
</sst>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selerio\projects\dissertation-cbrem\data\config\simulation_training_config.xlsx" TargetMode="External"/><Relationship Id="rId1" Type="http://schemas.openxmlformats.org/officeDocument/2006/relationships/externalLinkPath" Target="simulation_training_conf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_config"/>
      <sheetName val="training_components"/>
      <sheetName val="initial_conditions"/>
      <sheetName val="all_input_cstr"/>
      <sheetName val="all_output_cstr"/>
      <sheetName val="all_input_clarifier"/>
      <sheetName val="all_output_clarifier"/>
      <sheetName val="all_input_flows"/>
    </sheetNames>
    <sheetDataSet>
      <sheetData sheetId="0">
        <row r="1">
          <cell r="A1" t="str">
            <v>variable</v>
          </cell>
          <cell r="B1" t="str">
            <v>baseline</v>
          </cell>
        </row>
        <row r="2">
          <cell r="A2" t="str">
            <v>flow_rate</v>
          </cell>
          <cell r="B2">
            <v>18446</v>
          </cell>
        </row>
        <row r="3">
          <cell r="A3" t="str">
            <v>Q_was</v>
          </cell>
          <cell r="B3">
            <v>385</v>
          </cell>
        </row>
        <row r="4">
          <cell r="A4" t="str">
            <v>Q_ext</v>
          </cell>
          <cell r="B4">
            <v>18446</v>
          </cell>
        </row>
        <row r="5">
          <cell r="A5" t="str">
            <v>V_A1</v>
          </cell>
          <cell r="B5">
            <v>1000</v>
          </cell>
        </row>
        <row r="6">
          <cell r="A6" t="str">
            <v>V_A2</v>
          </cell>
          <cell r="B6">
            <v>1000</v>
          </cell>
        </row>
        <row r="7">
          <cell r="A7" t="str">
            <v>V_O1</v>
          </cell>
          <cell r="B7">
            <v>1333</v>
          </cell>
        </row>
        <row r="8">
          <cell r="A8" t="str">
            <v>V_O2</v>
          </cell>
          <cell r="B8">
            <v>1333</v>
          </cell>
        </row>
        <row r="9">
          <cell r="A9" t="str">
            <v>V_O3</v>
          </cell>
          <cell r="B9">
            <v>1333</v>
          </cell>
        </row>
        <row r="10">
          <cell r="A10" t="str">
            <v>KLa_A1</v>
          </cell>
          <cell r="B10">
            <v>0.1</v>
          </cell>
        </row>
        <row r="11">
          <cell r="A11" t="str">
            <v>KLa_A2</v>
          </cell>
          <cell r="B11">
            <v>0.1</v>
          </cell>
        </row>
        <row r="12">
          <cell r="A12" t="str">
            <v>KLa_O1</v>
          </cell>
          <cell r="B12">
            <v>240</v>
          </cell>
        </row>
        <row r="13">
          <cell r="A13" t="str">
            <v>KLa_O2</v>
          </cell>
          <cell r="B13">
            <v>240</v>
          </cell>
        </row>
        <row r="14">
          <cell r="A14" t="str">
            <v>KLa_O3</v>
          </cell>
          <cell r="B14">
            <v>84</v>
          </cell>
        </row>
        <row r="15">
          <cell r="A15" t="str">
            <v>O3_split_internal</v>
          </cell>
          <cell r="B15">
            <v>0.5</v>
          </cell>
        </row>
        <row r="16">
          <cell r="A16" t="str">
            <v>C1_surface_area</v>
          </cell>
          <cell r="B16">
            <v>1500</v>
          </cell>
        </row>
        <row r="17">
          <cell r="A17" t="str">
            <v>C1_height</v>
          </cell>
          <cell r="B17">
            <v>4</v>
          </cell>
        </row>
        <row r="18">
          <cell r="A18" t="str">
            <v>inf_S_I</v>
          </cell>
          <cell r="B18">
            <v>14</v>
          </cell>
        </row>
        <row r="19">
          <cell r="A19" t="str">
            <v>inf_S_F</v>
          </cell>
          <cell r="B19">
            <v>20.100000000000001</v>
          </cell>
        </row>
        <row r="20">
          <cell r="A20" t="str">
            <v>inf_S_A</v>
          </cell>
          <cell r="B20">
            <v>94.3</v>
          </cell>
        </row>
        <row r="21">
          <cell r="A21" t="str">
            <v>inf_X_I</v>
          </cell>
          <cell r="B21">
            <v>26.5</v>
          </cell>
        </row>
        <row r="22">
          <cell r="A22" t="str">
            <v>inf_X_S</v>
          </cell>
          <cell r="B22">
            <v>409.75</v>
          </cell>
        </row>
        <row r="23">
          <cell r="A23" t="str">
            <v>inf_S_NH4</v>
          </cell>
          <cell r="B23">
            <v>31</v>
          </cell>
        </row>
        <row r="24">
          <cell r="A24" t="str">
            <v>inf_S_N2</v>
          </cell>
          <cell r="B24">
            <v>0</v>
          </cell>
        </row>
        <row r="25">
          <cell r="A25" t="str">
            <v>inf_S_NO3</v>
          </cell>
          <cell r="B25">
            <v>0.26600000000000001</v>
          </cell>
        </row>
        <row r="26">
          <cell r="A26" t="str">
            <v>inf_S_PO4</v>
          </cell>
          <cell r="B26">
            <v>2.8</v>
          </cell>
        </row>
        <row r="27">
          <cell r="A27" t="str">
            <v>inf_X_PP</v>
          </cell>
          <cell r="B27">
            <v>0.05</v>
          </cell>
        </row>
        <row r="28">
          <cell r="A28" t="str">
            <v>inf_X_PHA</v>
          </cell>
          <cell r="B28">
            <v>0.5</v>
          </cell>
        </row>
        <row r="29">
          <cell r="A29" t="str">
            <v>inf_X_H</v>
          </cell>
          <cell r="B29">
            <v>0.15</v>
          </cell>
        </row>
        <row r="30">
          <cell r="A30" t="str">
            <v>inf_X_AUT</v>
          </cell>
          <cell r="B30">
            <v>0</v>
          </cell>
        </row>
        <row r="31">
          <cell r="A31" t="str">
            <v>inf_X_PAO</v>
          </cell>
          <cell r="B31">
            <v>0</v>
          </cell>
        </row>
        <row r="32">
          <cell r="A32" t="str">
            <v>inf_S_ALK</v>
          </cell>
          <cell r="B32">
            <v>84</v>
          </cell>
        </row>
        <row r="33">
          <cell r="A33" t="str">
            <v>inf_S_O2</v>
          </cell>
          <cell r="B33">
            <v>0.5</v>
          </cell>
        </row>
        <row r="34">
          <cell r="A34" t="str">
            <v>inf_X_MeOH</v>
          </cell>
          <cell r="B34">
            <v>0</v>
          </cell>
        </row>
        <row r="35">
          <cell r="A35" t="str">
            <v>inf_X_MeP</v>
          </cell>
          <cell r="B3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8" sqref="B8"/>
    </sheetView>
  </sheetViews>
  <sheetFormatPr defaultRowHeight="14.5" x14ac:dyDescent="0.35"/>
  <cols>
    <col min="1" max="1" width="18.36328125" bestFit="1" customWidth="1"/>
    <col min="2" max="2" width="43" bestFit="1" customWidth="1"/>
    <col min="3" max="3" width="38.7265625" bestFit="1" customWidth="1"/>
    <col min="4" max="4" width="11" bestFit="1" customWidth="1"/>
  </cols>
  <sheetData>
    <row r="1" spans="1:4" x14ac:dyDescent="0.35">
      <c r="A1" t="s">
        <v>0</v>
      </c>
      <c r="B1" t="s">
        <v>1</v>
      </c>
      <c r="C1" t="s">
        <v>5</v>
      </c>
      <c r="D1" t="s">
        <v>7</v>
      </c>
    </row>
    <row r="2" spans="1:4" x14ac:dyDescent="0.35">
      <c r="A2" t="s">
        <v>2</v>
      </c>
      <c r="B2" t="s">
        <v>76</v>
      </c>
      <c r="C2" t="s">
        <v>25</v>
      </c>
      <c r="D2" t="s">
        <v>26</v>
      </c>
    </row>
    <row r="3" spans="1:4" x14ac:dyDescent="0.35">
      <c r="A3" t="s">
        <v>3</v>
      </c>
      <c r="B3" t="s">
        <v>75</v>
      </c>
      <c r="C3" t="s">
        <v>27</v>
      </c>
      <c r="D3" t="s">
        <v>28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A20" sqref="A20:XFD26"/>
    </sheetView>
  </sheetViews>
  <sheetFormatPr defaultRowHeight="14.5" x14ac:dyDescent="0.35"/>
  <cols>
    <col min="1" max="1" width="11.36328125" bestFit="1" customWidth="1"/>
    <col min="2" max="2" width="6.81640625" bestFit="1" customWidth="1"/>
  </cols>
  <sheetData>
    <row r="1" spans="1:3" x14ac:dyDescent="0.35">
      <c r="A1" t="s">
        <v>4</v>
      </c>
      <c r="B1" t="s">
        <v>1</v>
      </c>
      <c r="C1" t="s">
        <v>5</v>
      </c>
    </row>
    <row r="2" spans="1:3" x14ac:dyDescent="0.35">
      <c r="A2" t="s">
        <v>29</v>
      </c>
      <c r="B2">
        <f>VLOOKUP(A2,[1]input_config!$A:$B,2,FALSE)</f>
        <v>14</v>
      </c>
      <c r="C2" t="s">
        <v>30</v>
      </c>
    </row>
    <row r="3" spans="1:3" x14ac:dyDescent="0.35">
      <c r="A3" t="s">
        <v>31</v>
      </c>
      <c r="B3">
        <f>VLOOKUP(A3,[1]input_config!$A:$B,2,FALSE)</f>
        <v>26.5</v>
      </c>
      <c r="C3" t="s">
        <v>32</v>
      </c>
    </row>
    <row r="4" spans="1:3" x14ac:dyDescent="0.35">
      <c r="A4" t="s">
        <v>33</v>
      </c>
      <c r="B4">
        <f>VLOOKUP(A4,[1]input_config!$A:$B,2,FALSE)</f>
        <v>20.100000000000001</v>
      </c>
      <c r="C4" t="s">
        <v>34</v>
      </c>
    </row>
    <row r="5" spans="1:3" x14ac:dyDescent="0.35">
      <c r="A5" t="s">
        <v>35</v>
      </c>
      <c r="B5">
        <f>VLOOKUP(A5,[1]input_config!$A:$B,2,FALSE)</f>
        <v>94.3</v>
      </c>
      <c r="C5" t="s">
        <v>36</v>
      </c>
    </row>
    <row r="6" spans="1:3" x14ac:dyDescent="0.35">
      <c r="A6" t="s">
        <v>37</v>
      </c>
      <c r="B6">
        <f>VLOOKUP(A6,[1]input_config!$A:$B,2,FALSE)</f>
        <v>409.75</v>
      </c>
      <c r="C6" t="s">
        <v>38</v>
      </c>
    </row>
    <row r="7" spans="1:3" x14ac:dyDescent="0.35">
      <c r="A7" t="s">
        <v>39</v>
      </c>
      <c r="B7">
        <f>VLOOKUP(A7,[1]input_config!$A:$B,2,FALSE)</f>
        <v>31</v>
      </c>
      <c r="C7" t="s">
        <v>40</v>
      </c>
    </row>
    <row r="8" spans="1:3" x14ac:dyDescent="0.35">
      <c r="A8" t="s">
        <v>41</v>
      </c>
      <c r="B8">
        <f>VLOOKUP(A8,[1]input_config!$A:$B,2,FALSE)</f>
        <v>0.5</v>
      </c>
      <c r="C8" t="s">
        <v>42</v>
      </c>
    </row>
    <row r="9" spans="1:3" x14ac:dyDescent="0.35">
      <c r="A9" t="s">
        <v>43</v>
      </c>
      <c r="B9">
        <f>VLOOKUP(A9,[1]input_config!$A:$B,2,FALSE)</f>
        <v>0</v>
      </c>
      <c r="C9" t="s">
        <v>44</v>
      </c>
    </row>
    <row r="10" spans="1:3" x14ac:dyDescent="0.35">
      <c r="A10" t="s">
        <v>45</v>
      </c>
      <c r="B10">
        <f>VLOOKUP(A10,[1]input_config!$A:$B,2,FALSE)</f>
        <v>0.26600000000000001</v>
      </c>
      <c r="C10" t="s">
        <v>46</v>
      </c>
    </row>
    <row r="11" spans="1:3" x14ac:dyDescent="0.35">
      <c r="A11" t="s">
        <v>47</v>
      </c>
      <c r="B11">
        <f>VLOOKUP(A11,[1]input_config!$A:$B,2,FALSE)</f>
        <v>2.8</v>
      </c>
      <c r="C11" t="s">
        <v>48</v>
      </c>
    </row>
    <row r="12" spans="1:3" x14ac:dyDescent="0.35">
      <c r="A12" t="s">
        <v>49</v>
      </c>
      <c r="B12">
        <f>VLOOKUP(A12,[1]input_config!$A:$B,2,FALSE)</f>
        <v>0.05</v>
      </c>
      <c r="C12" t="s">
        <v>50</v>
      </c>
    </row>
    <row r="13" spans="1:3" x14ac:dyDescent="0.35">
      <c r="A13" t="s">
        <v>51</v>
      </c>
      <c r="B13">
        <f>VLOOKUP(A13,[1]input_config!$A:$B,2,FALSE)</f>
        <v>0.5</v>
      </c>
      <c r="C13" t="s">
        <v>52</v>
      </c>
    </row>
    <row r="14" spans="1:3" x14ac:dyDescent="0.35">
      <c r="A14" t="s">
        <v>53</v>
      </c>
      <c r="B14">
        <f>VLOOKUP(A14,[1]input_config!$A:$B,2,FALSE)</f>
        <v>0.15</v>
      </c>
      <c r="C14" t="s">
        <v>54</v>
      </c>
    </row>
    <row r="15" spans="1:3" x14ac:dyDescent="0.35">
      <c r="A15" t="s">
        <v>55</v>
      </c>
      <c r="B15">
        <f>VLOOKUP(A15,[1]input_config!$A:$B,2,FALSE)</f>
        <v>0</v>
      </c>
      <c r="C15" t="s">
        <v>56</v>
      </c>
    </row>
    <row r="16" spans="1:3" x14ac:dyDescent="0.35">
      <c r="A16" t="s">
        <v>57</v>
      </c>
      <c r="B16">
        <f>VLOOKUP(A16,[1]input_config!$A:$B,2,FALSE)</f>
        <v>0</v>
      </c>
      <c r="C16" t="s">
        <v>58</v>
      </c>
    </row>
    <row r="17" spans="1:3" x14ac:dyDescent="0.35">
      <c r="A17" t="s">
        <v>59</v>
      </c>
      <c r="B17">
        <f>VLOOKUP(A17,[1]input_config!$A:$B,2,FALSE)</f>
        <v>84</v>
      </c>
      <c r="C17" t="s">
        <v>60</v>
      </c>
    </row>
    <row r="18" spans="1:3" x14ac:dyDescent="0.35">
      <c r="A18" t="s">
        <v>67</v>
      </c>
      <c r="B18">
        <f>VLOOKUP(A18,[1]input_config!$A:$B,2,FALSE)</f>
        <v>0</v>
      </c>
      <c r="C18" t="s">
        <v>68</v>
      </c>
    </row>
    <row r="19" spans="1:3" x14ac:dyDescent="0.35">
      <c r="A19" t="s">
        <v>69</v>
      </c>
      <c r="B19">
        <f>VLOOKUP(A19,[1]input_config!$A:$B,2,FALSE)</f>
        <v>0</v>
      </c>
      <c r="C19" t="s">
        <v>70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A5" sqref="A5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t="s">
        <v>8</v>
      </c>
      <c r="B2" t="s">
        <v>16</v>
      </c>
    </row>
    <row r="3" spans="1:2" x14ac:dyDescent="0.35">
      <c r="A3" t="s">
        <v>9</v>
      </c>
      <c r="B3" t="s">
        <v>16</v>
      </c>
    </row>
    <row r="4" spans="1:2" x14ac:dyDescent="0.35">
      <c r="A4" t="s">
        <v>10</v>
      </c>
      <c r="B4" t="s">
        <v>16</v>
      </c>
    </row>
    <row r="5" spans="1:2" x14ac:dyDescent="0.35">
      <c r="A5" t="s">
        <v>11</v>
      </c>
      <c r="B5" t="s">
        <v>16</v>
      </c>
    </row>
    <row r="6" spans="1:2" x14ac:dyDescent="0.35">
      <c r="A6" t="s">
        <v>12</v>
      </c>
      <c r="B6" t="s">
        <v>26</v>
      </c>
    </row>
    <row r="7" spans="1:2" x14ac:dyDescent="0.35">
      <c r="A7" t="s">
        <v>13</v>
      </c>
      <c r="B7" t="s">
        <v>26</v>
      </c>
    </row>
    <row r="8" spans="1:2" x14ac:dyDescent="0.35">
      <c r="A8" t="s">
        <v>14</v>
      </c>
      <c r="B8" t="s">
        <v>28</v>
      </c>
    </row>
    <row r="9" spans="1:2" x14ac:dyDescent="0.35">
      <c r="A9" t="s">
        <v>15</v>
      </c>
      <c r="B9" t="s">
        <v>28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Q9" sqref="Q9"/>
    </sheetView>
  </sheetViews>
  <sheetFormatPr defaultRowHeight="14.5" x14ac:dyDescent="0.35"/>
  <cols>
    <col min="1" max="1" width="14.81640625" bestFit="1" customWidth="1"/>
    <col min="2" max="2" width="11.36328125" bestFit="1" customWidth="1"/>
  </cols>
  <sheetData>
    <row r="1" spans="1:4" x14ac:dyDescent="0.35">
      <c r="A1" t="s">
        <v>4</v>
      </c>
      <c r="B1" t="s">
        <v>17</v>
      </c>
      <c r="C1" t="s">
        <v>18</v>
      </c>
      <c r="D1" t="s">
        <v>5</v>
      </c>
    </row>
    <row r="2" spans="1:4" x14ac:dyDescent="0.35">
      <c r="A2" t="s">
        <v>8</v>
      </c>
      <c r="B2">
        <v>2000</v>
      </c>
      <c r="C2">
        <v>10000</v>
      </c>
      <c r="D2" t="s">
        <v>61</v>
      </c>
    </row>
    <row r="3" spans="1:4" x14ac:dyDescent="0.35">
      <c r="A3" t="s">
        <v>11</v>
      </c>
      <c r="B3">
        <v>0</v>
      </c>
      <c r="C3">
        <v>10000</v>
      </c>
      <c r="D3" t="s">
        <v>71</v>
      </c>
    </row>
    <row r="4" spans="1:4" x14ac:dyDescent="0.35">
      <c r="A4" t="s">
        <v>10</v>
      </c>
      <c r="B4">
        <v>2000</v>
      </c>
      <c r="C4">
        <v>10000</v>
      </c>
      <c r="D4" t="s">
        <v>62</v>
      </c>
    </row>
    <row r="5" spans="1:4" x14ac:dyDescent="0.35">
      <c r="A5" t="s">
        <v>12</v>
      </c>
      <c r="B5">
        <v>500</v>
      </c>
      <c r="C5">
        <v>4000</v>
      </c>
      <c r="D5" t="s">
        <v>63</v>
      </c>
    </row>
    <row r="6" spans="1:4" x14ac:dyDescent="0.35">
      <c r="A6" t="s">
        <v>13</v>
      </c>
      <c r="B6">
        <v>1E-3</v>
      </c>
      <c r="C6">
        <v>500</v>
      </c>
      <c r="D6" t="s">
        <v>64</v>
      </c>
    </row>
    <row r="7" spans="1:4" x14ac:dyDescent="0.35">
      <c r="A7" t="s">
        <v>14</v>
      </c>
      <c r="B7">
        <v>1500</v>
      </c>
      <c r="C7">
        <v>2500</v>
      </c>
      <c r="D7" t="s">
        <v>65</v>
      </c>
    </row>
    <row r="8" spans="1:4" x14ac:dyDescent="0.35">
      <c r="A8" t="s">
        <v>15</v>
      </c>
      <c r="B8">
        <v>3</v>
      </c>
      <c r="C8">
        <v>8</v>
      </c>
      <c r="D8" t="s">
        <v>66</v>
      </c>
    </row>
    <row r="9" spans="1:4" x14ac:dyDescent="0.35">
      <c r="A9" t="s">
        <v>9</v>
      </c>
      <c r="B9">
        <v>0</v>
      </c>
      <c r="C9">
        <v>10000</v>
      </c>
      <c r="D9" t="s">
        <v>72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F33" sqref="F33"/>
    </sheetView>
  </sheetViews>
  <sheetFormatPr defaultRowHeight="14.5" x14ac:dyDescent="0.35"/>
  <cols>
    <col min="1" max="1" width="26.453125" bestFit="1" customWidth="1"/>
  </cols>
  <sheetData>
    <row r="1" spans="1:3" x14ac:dyDescent="0.35">
      <c r="A1" t="s">
        <v>19</v>
      </c>
      <c r="B1" t="s">
        <v>20</v>
      </c>
      <c r="C1" t="s">
        <v>21</v>
      </c>
    </row>
    <row r="2" spans="1:3" x14ac:dyDescent="0.35">
      <c r="A2" t="s">
        <v>22</v>
      </c>
      <c r="B2">
        <v>0</v>
      </c>
      <c r="C2">
        <v>100</v>
      </c>
    </row>
    <row r="3" spans="1:3" x14ac:dyDescent="0.35">
      <c r="A3" t="s">
        <v>23</v>
      </c>
      <c r="B3">
        <v>0</v>
      </c>
      <c r="C3">
        <v>100</v>
      </c>
    </row>
    <row r="4" spans="1:3" x14ac:dyDescent="0.35">
      <c r="A4" t="s">
        <v>24</v>
      </c>
      <c r="B4">
        <v>0</v>
      </c>
      <c r="C4">
        <v>10</v>
      </c>
    </row>
    <row r="5" spans="1:3" x14ac:dyDescent="0.35">
      <c r="A5" t="s">
        <v>73</v>
      </c>
      <c r="B5">
        <v>0</v>
      </c>
      <c r="C5">
        <v>10</v>
      </c>
    </row>
    <row r="6" spans="1:3" x14ac:dyDescent="0.35">
      <c r="A6" t="s">
        <v>74</v>
      </c>
      <c r="B6">
        <v>0</v>
      </c>
      <c r="C6">
        <v>2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raw_influent_compound_conc</vt:lpstr>
      <vt:lpstr>decision_var</vt:lpstr>
      <vt:lpstr>decision_var_bound</vt:lpstr>
      <vt:lpstr>fuzzy_goal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Selerio, Egberto</cp:lastModifiedBy>
  <dcterms:created xsi:type="dcterms:W3CDTF">2025-07-15T16:45:13Z</dcterms:created>
  <dcterms:modified xsi:type="dcterms:W3CDTF">2025-12-16T00:51:17Z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a2094-5e22-4200-a94b-9c9c0cdafd91_Enabled">
    <vt:lpwstr>true</vt:lpwstr>
  </property>
  <property fmtid="{D5CDD505-2E9C-101B-9397-08002B2CF9AE}" pid="3" name="MSIP_Label_e8ba2094-5e22-4200-a94b-9c9c0cdafd91_SetDate">
    <vt:lpwstr>2025-12-16T00:47:46Z</vt:lpwstr>
  </property>
  <property fmtid="{D5CDD505-2E9C-101B-9397-08002B2CF9AE}" pid="4" name="MSIP_Label_e8ba2094-5e22-4200-a94b-9c9c0cdafd91_Method">
    <vt:lpwstr>Standard</vt:lpwstr>
  </property>
  <property fmtid="{D5CDD505-2E9C-101B-9397-08002B2CF9AE}" pid="5" name="MSIP_Label_e8ba2094-5e22-4200-a94b-9c9c0cdafd91_Name">
    <vt:lpwstr>Confidential Information</vt:lpwstr>
  </property>
  <property fmtid="{D5CDD505-2E9C-101B-9397-08002B2CF9AE}" pid="6" name="MSIP_Label_e8ba2094-5e22-4200-a94b-9c9c0cdafd91_SiteId">
    <vt:lpwstr>441d4a8f-7999-4d6a-9670-672cf8d03e35</vt:lpwstr>
  </property>
  <property fmtid="{D5CDD505-2E9C-101B-9397-08002B2CF9AE}" pid="7" name="MSIP_Label_e8ba2094-5e22-4200-a94b-9c9c0cdafd91_ActionId">
    <vt:lpwstr>029eff5c-d7fe-4f2c-ab51-d665eb6b1e74</vt:lpwstr>
  </property>
  <property fmtid="{D5CDD505-2E9C-101B-9397-08002B2CF9AE}" pid="8" name="MSIP_Label_e8ba2094-5e22-4200-a94b-9c9c0cdafd91_ContentBits">
    <vt:lpwstr>2</vt:lpwstr>
  </property>
  <property fmtid="{D5CDD505-2E9C-101B-9397-08002B2CF9AE}" pid="9" name="MSIP_Label_e8ba2094-5e22-4200-a94b-9c9c0cdafd91_Tag">
    <vt:lpwstr>10, 3, 0, 1</vt:lpwstr>
  </property>
</Properties>
</file>